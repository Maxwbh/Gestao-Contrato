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celas Mensais" sheetId="1" state="visible" r:id="rId3"/>
    <sheet name="Índices IPCA" sheetId="2" state="visible" r:id="rId4"/>
    <sheet name="Reajustes" sheetId="3" state="visible" r:id="rId5"/>
    <sheet name="Vencimentos" sheetId="4" state="visible" r:id="rId6"/>
    <sheet name="Saldo Devedor Atualizado" sheetId="5" state="visible" r:id="rId7"/>
    <sheet name="Mensais - Calc Exa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<sst xmlns="http://schemas.openxmlformats.org/spreadsheetml/2006/main" count="755" uniqueCount="309">
  <si>
    <t xml:space="preserve">CONTROLE — PARCELAS MENSAIS (Cláusula 2.2.1)</t>
  </si>
  <si>
    <t xml:space="preserve">DADOS DO CONTRATO</t>
  </si>
  <si>
    <t xml:space="preserve">Compradora:</t>
  </si>
  <si>
    <t xml:space="preserve">UANDA SILVA CARVALHO</t>
  </si>
  <si>
    <t xml:space="preserve">CPF:</t>
  </si>
  <si>
    <t xml:space="preserve">066.128.216-39</t>
  </si>
  <si>
    <t xml:space="preserve">Imóvel:</t>
  </si>
  <si>
    <t xml:space="preserve">Lote 16, Quadra D — Res. Parque das Nogueiras</t>
  </si>
  <si>
    <t xml:space="preserve">Data Contrato:</t>
  </si>
  <si>
    <t xml:space="preserve">Valor Total:</t>
  </si>
  <si>
    <t xml:space="preserve">Entrada:</t>
  </si>
  <si>
    <t xml:space="preserve">Saldo Mensal:</t>
  </si>
  <si>
    <t xml:space="preserve">Parcelas:</t>
  </si>
  <si>
    <t xml:space="preserve">120 × dia 10</t>
  </si>
  <si>
    <t xml:space="preserve">Índice:</t>
  </si>
  <si>
    <t xml:space="preserve">IPCA + 0,85% a.m.</t>
  </si>
  <si>
    <t xml:space="preserve">IDENTIFICAÇÃO</t>
  </si>
  <si>
    <t xml:space="preserve">VALORES (R$)</t>
  </si>
  <si>
    <t xml:space="preserve">IPCA</t>
  </si>
  <si>
    <t xml:space="preserve">CORREÇÃO ANUAL</t>
  </si>
  <si>
    <t xml:space="preserve">ENCARGOS ATRASO</t>
  </si>
  <si>
    <t xml:space="preserve">CLÁUS. 2.2.2</t>
  </si>
  <si>
    <t xml:space="preserve">Nº</t>
  </si>
  <si>
    <t xml:space="preserve">ANO</t>
  </si>
  <si>
    <t xml:space="preserve">MÊS</t>
  </si>
  <si>
    <t xml:space="preserve">DATA
PGTO</t>
  </si>
  <si>
    <t xml:space="preserve">VLR A PAGAR</t>
  </si>
  <si>
    <t xml:space="preserve">VLR PAGO</t>
  </si>
  <si>
    <t xml:space="preserve">SALDO
BASE</t>
  </si>
  <si>
    <t xml:space="preserve">NÚM.
ÍNDICE</t>
  </si>
  <si>
    <t xml:space="preserve">VAR.
MENSAL</t>
  </si>
  <si>
    <t xml:space="preserve">IPCA
ACUM 12M</t>
  </si>
  <si>
    <t xml:space="preserve">BASE
ATUAL.</t>
  </si>
  <si>
    <t xml:space="preserve">JUROS
COMP.</t>
  </si>
  <si>
    <t xml:space="preserve">VALOR
ATUAL.</t>
  </si>
  <si>
    <t xml:space="preserve">SALDO
DEVEDOR</t>
  </si>
  <si>
    <t xml:space="preserve">MULTA 2%
(R$)</t>
  </si>
  <si>
    <t xml:space="preserve">JUROS MORA
0,033%/dia</t>
  </si>
  <si>
    <t xml:space="preserve">SALDO REM.
ANUAL (R$)</t>
  </si>
  <si>
    <t xml:space="preserve">ANUAL
PAGO (R$)</t>
  </si>
  <si>
    <t xml:space="preserve">ENT.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</si>
  <si>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</si>
  <si>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</si>
  <si>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</si>
  <si>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</si>
  <si>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</si>
  <si>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</si>
  <si>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</si>
  <si>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</si>
  <si>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</si>
  <si>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</si>
  <si>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JAN</t>
  </si>
  <si>
    <t xml:space="preserve">FEV</t>
  </si>
  <si>
    <t xml:space="preserve">A10</t>
  </si>
  <si>
    <t xml:space="preserve">TOTAIS</t>
  </si>
  <si>
    <t xml:space="preserve">TOTAL GERAL (Mensal + Anual Devidos + Anual Pagos):</t>
  </si>
  <si>
    <t xml:space="preserve">SITUAÇÃO:</t>
  </si>
  <si>
    <t xml:space="preserve">Pagamentos suspensos desde OUT/2023 (parcela 29 em diante)</t>
  </si>
  <si>
    <t xml:space="preserve">OBSERVAÇÕES:</t>
  </si>
  <si>
    <t xml:space="preserve">Linhas em laranja = meses com parcela anual adicional (Cláusula 2.2.2)</t>
  </si>
  <si>
    <t xml:space="preserve">Parcelas 1 a 18: pagas R$ 1.392,72 (R$ 41,67 acima do valor contratual de R$ 1.351,05)</t>
  </si>
  <si>
    <t xml:space="preserve">Parcela 19: paga R$ 1.351,05 (valor contratual exato)</t>
  </si>
  <si>
    <t xml:space="preserve">Parcelas 20 a 28: valores variados (R$ 1.392,72 a R$ 2.000,00)</t>
  </si>
  <si>
    <t xml:space="preserve">Parcela anual 1: paga em DEZ/2021 (contrato previa ABR/2022) - R$ 5.000,00</t>
  </si>
  <si>
    <t xml:space="preserve">Parcela anual 2: paga em DEZ/2022 (contrato previa ABR/2023) - R$ 5.000,00</t>
  </si>
  <si>
    <t xml:space="preserve">Meses JUL/2022 e SET/2022: pagamentos em atraso (pagos no mês seguinte)</t>
  </si>
  <si>
    <t xml:space="preserve">Parcelas anuais 3 a 10: NÃO PAGAS</t>
  </si>
  <si>
    <t xml:space="preserve">SÉRIE HISTÓRICA IPCA - IBGE</t>
  </si>
  <si>
    <t xml:space="preserve">Fonte: IBGE | Atualizado até MAR/2026 | Início: MAR/2021 (mês do contrato)</t>
  </si>
  <si>
    <t xml:space="preserve">NÚM. ÍNDICE</t>
  </si>
  <si>
    <t xml:space="preserve">VAR. MENSAL</t>
  </si>
  <si>
    <t xml:space="preserve">VAR. ACUM.
DESDE MAR/21</t>
  </si>
  <si>
    <t xml:space="preserve">PARÂMETROS DE REAJUSTE ANUAL — PARCELAS MENSAIS</t>
  </si>
  <si>
    <t xml:space="preserve">Cláusula 2.2.1 — Correção: IPCA acumulado 12 meses + Juros compostos 0,85% a.m.</t>
  </si>
  <si>
    <t xml:space="preserve">ANO
CONTRATUAL</t>
  </si>
  <si>
    <t xml:space="preserve">PARCELAS</t>
  </si>
  <si>
    <t xml:space="preserve">PERÍODO</t>
  </si>
  <si>
    <t xml:space="preserve">JUROS
a.m.</t>
  </si>
  <si>
    <t xml:space="preserve">JUROS COMP.
12 MESES</t>
  </si>
  <si>
    <t xml:space="preserve">IPCA ACUM
12 MESES</t>
  </si>
  <si>
    <t xml:space="preserve">FATOR
CORREÇÃO</t>
  </si>
  <si>
    <t xml:space="preserve">PARCELA
MENSAL (R$)</t>
  </si>
  <si>
    <t xml:space="preserve">1º ANO</t>
  </si>
  <si>
    <t xml:space="preserve">1-12</t>
  </si>
  <si>
    <t xml:space="preserve">ABR/21 a MAR/22</t>
  </si>
  <si>
    <t xml:space="preserve">2º ANO</t>
  </si>
  <si>
    <t xml:space="preserve">13-24</t>
  </si>
  <si>
    <t xml:space="preserve">ABR/22 a MAR/23</t>
  </si>
  <si>
    <t xml:space="preserve">3º ANO</t>
  </si>
  <si>
    <t xml:space="preserve">25-36</t>
  </si>
  <si>
    <t xml:space="preserve">ABR/23 a MAR/24</t>
  </si>
  <si>
    <t xml:space="preserve">4º ANO</t>
  </si>
  <si>
    <t xml:space="preserve">37-48</t>
  </si>
  <si>
    <t xml:space="preserve">ABR/24 a MAR/25</t>
  </si>
  <si>
    <t xml:space="preserve">5º ANO</t>
  </si>
  <si>
    <t xml:space="preserve">49-60</t>
  </si>
  <si>
    <t xml:space="preserve">ABR/25 a MAR/26</t>
  </si>
  <si>
    <t xml:space="preserve">6º ANO</t>
  </si>
  <si>
    <t xml:space="preserve">61-72</t>
  </si>
  <si>
    <t xml:space="preserve">ABR/26 a MAR/27</t>
  </si>
  <si>
    <t xml:space="preserve">7º ANO</t>
  </si>
  <si>
    <t xml:space="preserve">73-84</t>
  </si>
  <si>
    <t xml:space="preserve">ABR/27 a MAR/28</t>
  </si>
  <si>
    <t xml:space="preserve">8º ANO</t>
  </si>
  <si>
    <t xml:space="preserve">85-96</t>
  </si>
  <si>
    <t xml:space="preserve">ABR/28 a MAR/29</t>
  </si>
  <si>
    <t xml:space="preserve">9º ANO</t>
  </si>
  <si>
    <t xml:space="preserve">97-108</t>
  </si>
  <si>
    <t xml:space="preserve">ABR/29 a MAR/30</t>
  </si>
  <si>
    <t xml:space="preserve">10º ANO</t>
  </si>
  <si>
    <t xml:space="preserve">109-120</t>
  </si>
  <si>
    <t xml:space="preserve">ABR/30 a MAR/31</t>
  </si>
  <si>
    <t xml:space="preserve">SALDO REMANESCENTE — PARCELAS ANUAIS (Cláusula 2.2.2)</t>
  </si>
  <si>
    <t xml:space="preserve">Dívida: R$ 50.000 | 10 parcelas anuais | 1º reajuste: ABR/2023 | Ordem: Pagamento → Reajuste</t>
  </si>
  <si>
    <t xml:space="preserve">Saldo Inicial (ABR/2022):</t>
  </si>
  <si>
    <t xml:space="preserve">ANIVERSÁRIO</t>
  </si>
  <si>
    <t xml:space="preserve">SALDO
INICIAL</t>
  </si>
  <si>
    <t xml:space="preserve">PAGAMENTO</t>
  </si>
  <si>
    <t xml:space="preserve">APÓS
PAGAMENTO</t>
  </si>
  <si>
    <t xml:space="preserve">REAJUSTE?</t>
  </si>
  <si>
    <t xml:space="preserve">SALDO
REMANESCENTE</t>
  </si>
  <si>
    <t xml:space="preserve">ABR/2022</t>
  </si>
  <si>
    <t xml:space="preserve">NÃO</t>
  </si>
  <si>
    <t xml:space="preserve">ABR/2023</t>
  </si>
  <si>
    <t xml:space="preserve">SIM</t>
  </si>
  <si>
    <t xml:space="preserve">ABR/2024</t>
  </si>
  <si>
    <t xml:space="preserve">ABR/2025</t>
  </si>
  <si>
    <t xml:space="preserve">ABR/2026</t>
  </si>
  <si>
    <t xml:space="preserve">ABR/2027</t>
  </si>
  <si>
    <t xml:space="preserve">ABR/2028</t>
  </si>
  <si>
    <t xml:space="preserve">ABR/2029</t>
  </si>
  <si>
    <t xml:space="preserve">ABR/2030</t>
  </si>
  <si>
    <t xml:space="preserve">ABR/2031</t>
  </si>
  <si>
    <t xml:space="preserve">SALDO REMANESCENTE ATUALIZADO:</t>
  </si>
  <si>
    <t xml:space="preserve">Total pago (parcelas anuais):</t>
  </si>
  <si>
    <t xml:space="preserve">NOTAS:</t>
  </si>
  <si>
    <t xml:space="preserve">ABR/2022: 1ª parcela devida, SEM reajuste — saldo = R$ 50.000 - R$ 5.000 = R$ 45.000</t>
  </si>
  <si>
    <t xml:space="preserve">ABR/2023: 1º REAJUSTE — primeiro paga, depois corrige o saldo pelo IPCA + juros</t>
  </si>
  <si>
    <t xml:space="preserve">Parcela 1 paga em DEZ/2021 | Parcela 2 paga em DEZ/2022 | Parcelas 3-10 não pagas</t>
  </si>
  <si>
    <t xml:space="preserve">Parcelas 6-10: sem IPCA divulgado — correção apenas por juros compostos 0,85% a.m.</t>
  </si>
  <si>
    <t xml:space="preserve">VENCIMENTOS AJUSTADOS — DIAS ÚTEIS E FERIADOS</t>
  </si>
  <si>
    <t xml:space="preserve">PARCELA</t>
  </si>
  <si>
    <t xml:space="preserve">MÊS/ANO</t>
  </si>
  <si>
    <t xml:space="preserve">VENC.
ORIGINAL</t>
  </si>
  <si>
    <t xml:space="preserve">VENC.
ÚTIL</t>
  </si>
  <si>
    <t xml:space="preserve">FERIADO/
FIM SEMANA?</t>
  </si>
  <si>
    <t xml:space="preserve">OBSERVAÇÃO</t>
  </si>
  <si>
    <t xml:space="preserve">ABR/2021</t>
  </si>
  <si>
    <t xml:space="preserve">Sábado</t>
  </si>
  <si>
    <t xml:space="preserve">MAI/2021</t>
  </si>
  <si>
    <t xml:space="preserve">JUN/2021</t>
  </si>
  <si>
    <t xml:space="preserve">JUL/2021</t>
  </si>
  <si>
    <t xml:space="preserve">AGO/2021</t>
  </si>
  <si>
    <t xml:space="preserve">SET/2021</t>
  </si>
  <si>
    <t xml:space="preserve">OUT/2021</t>
  </si>
  <si>
    <t xml:space="preserve">Domingo</t>
  </si>
  <si>
    <t xml:space="preserve">NOV/2021</t>
  </si>
  <si>
    <t xml:space="preserve">DEZ/2021</t>
  </si>
  <si>
    <t xml:space="preserve">JAN/2022</t>
  </si>
  <si>
    <t xml:space="preserve">FEV/2022</t>
  </si>
  <si>
    <t xml:space="preserve">MAR/2022</t>
  </si>
  <si>
    <t xml:space="preserve">MAI/2022</t>
  </si>
  <si>
    <t xml:space="preserve">JUN/2022</t>
  </si>
  <si>
    <t xml:space="preserve">JUL/2022</t>
  </si>
  <si>
    <t xml:space="preserve">AGO/2022</t>
  </si>
  <si>
    <t xml:space="preserve">SET/2022</t>
  </si>
  <si>
    <t xml:space="preserve">OUT/2022</t>
  </si>
  <si>
    <t xml:space="preserve">NOV/2022</t>
  </si>
  <si>
    <t xml:space="preserve">DEZ/2022</t>
  </si>
  <si>
    <t xml:space="preserve">JAN/2023</t>
  </si>
  <si>
    <t xml:space="preserve">FEV/2023</t>
  </si>
  <si>
    <t xml:space="preserve">MAR/2023</t>
  </si>
  <si>
    <t xml:space="preserve">MAI/2023</t>
  </si>
  <si>
    <t xml:space="preserve">JUN/2023</t>
  </si>
  <si>
    <t xml:space="preserve">JUL/2023</t>
  </si>
  <si>
    <t xml:space="preserve">AGO/2023</t>
  </si>
  <si>
    <t xml:space="preserve">SET/2023</t>
  </si>
  <si>
    <t xml:space="preserve">OUT/2023</t>
  </si>
  <si>
    <t xml:space="preserve">NOV/2023</t>
  </si>
  <si>
    <t xml:space="preserve">DEZ/2023</t>
  </si>
  <si>
    <t xml:space="preserve">JAN/2024</t>
  </si>
  <si>
    <t xml:space="preserve">FEV/2024</t>
  </si>
  <si>
    <t xml:space="preserve">MAR/2024</t>
  </si>
  <si>
    <t xml:space="preserve">MAI/2024</t>
  </si>
  <si>
    <t xml:space="preserve">JUN/2024</t>
  </si>
  <si>
    <t xml:space="preserve">JUL/2024</t>
  </si>
  <si>
    <t xml:space="preserve">AGO/2024</t>
  </si>
  <si>
    <t xml:space="preserve">SET/2024</t>
  </si>
  <si>
    <t xml:space="preserve">OUT/2024</t>
  </si>
  <si>
    <t xml:space="preserve">NOV/2024</t>
  </si>
  <si>
    <t xml:space="preserve">DEZ/2024</t>
  </si>
  <si>
    <t xml:space="preserve">JAN/2025</t>
  </si>
  <si>
    <t xml:space="preserve">FEV/2025</t>
  </si>
  <si>
    <t xml:space="preserve">MAR/2025</t>
  </si>
  <si>
    <t xml:space="preserve">MAI/2025</t>
  </si>
  <si>
    <t xml:space="preserve">JUN/2025</t>
  </si>
  <si>
    <t xml:space="preserve">JUL/2025</t>
  </si>
  <si>
    <t xml:space="preserve">AGO/2025</t>
  </si>
  <si>
    <t xml:space="preserve">SET/2025</t>
  </si>
  <si>
    <t xml:space="preserve">OUT/2025</t>
  </si>
  <si>
    <t xml:space="preserve">NOV/2025</t>
  </si>
  <si>
    <t xml:space="preserve">DEZ/2025</t>
  </si>
  <si>
    <t xml:space="preserve">JAN/2026</t>
  </si>
  <si>
    <t xml:space="preserve">FEV/2026</t>
  </si>
  <si>
    <t xml:space="preserve">MAR/2026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</si>
  <si>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</si>
  <si>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</si>
  <si>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</si>
  <si>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</si>
  <si>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</si>
  <si>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</si>
  <si>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NOV/2026</t>
  </si>
  <si>
    <t xml:space="preserve">DEZ/2026</t>
  </si>
  <si>
    <t xml:space="preserve">JAN/2027</t>
  </si>
  <si>
    <t xml:space="preserve">FEV/2027</t>
  </si>
  <si>
    <t xml:space="preserve">Carnaval Ter</t>
  </si>
  <si>
    <t xml:space="preserve">MAR/2027</t>
  </si>
  <si>
    <t xml:space="preserve">MAI/2027</t>
  </si>
  <si>
    <t xml:space="preserve">JUN/2027</t>
  </si>
  <si>
    <t xml:space="preserve">JUL/2027</t>
  </si>
  <si>
    <t xml:space="preserve">AGO/2027</t>
  </si>
  <si>
    <t xml:space="preserve">SET/2027</t>
  </si>
  <si>
    <t xml:space="preserve">OUT/2027</t>
  </si>
  <si>
    <t xml:space="preserve">NOV/2027</t>
  </si>
  <si>
    <t xml:space="preserve">DEZ/2027</t>
  </si>
  <si>
    <t xml:space="preserve">JAN/2028</t>
  </si>
  <si>
    <t xml:space="preserve">FEV/2028</t>
  </si>
  <si>
    <t xml:space="preserve">MAR/2028</t>
  </si>
  <si>
    <t xml:space="preserve">MAI/2028</t>
  </si>
  <si>
    <t xml:space="preserve">JUN/2028</t>
  </si>
  <si>
    <t xml:space="preserve">JUL/2028</t>
  </si>
  <si>
    <t xml:space="preserve">AGO/2028</t>
  </si>
  <si>
    <t xml:space="preserve">SET/2028</t>
  </si>
  <si>
    <t xml:space="preserve">OUT/2028</t>
  </si>
  <si>
    <t xml:space="preserve">NOV/2028</t>
  </si>
  <si>
    <t xml:space="preserve">DEZ/2028</t>
  </si>
  <si>
    <t xml:space="preserve">JAN/2029</t>
  </si>
  <si>
    <t xml:space="preserve">FEV/2029</t>
  </si>
  <si>
    <t xml:space="preserve">MAR/2029</t>
  </si>
  <si>
    <t xml:space="preserve">MAI/2029</t>
  </si>
  <si>
    <t xml:space="preserve">JUN/2029</t>
  </si>
  <si>
    <t xml:space="preserve">JUL/2029</t>
  </si>
  <si>
    <t xml:space="preserve">AGO/2029</t>
  </si>
  <si>
    <t xml:space="preserve">SET/2029</t>
  </si>
  <si>
    <t xml:space="preserve">OUT/2029</t>
  </si>
  <si>
    <t xml:space="preserve">NOV/2029</t>
  </si>
  <si>
    <t xml:space="preserve">DEZ/2029</t>
  </si>
  <si>
    <t xml:space="preserve">JAN/2030</t>
  </si>
  <si>
    <t xml:space="preserve">FEV/2030</t>
  </si>
  <si>
    <t xml:space="preserve">MAR/2030</t>
  </si>
  <si>
    <t xml:space="preserve">MAI/2030</t>
  </si>
  <si>
    <t xml:space="preserve">JUN/2030</t>
  </si>
  <si>
    <t xml:space="preserve">JUL/2030</t>
  </si>
  <si>
    <t xml:space="preserve">AGO/2030</t>
  </si>
  <si>
    <t xml:space="preserve">SET/2030</t>
  </si>
  <si>
    <t xml:space="preserve">OUT/2030</t>
  </si>
  <si>
    <t xml:space="preserve">NOV/2030</t>
  </si>
  <si>
    <t xml:space="preserve">DEZ/2030</t>
  </si>
  <si>
    <t xml:space="preserve">JAN/2031</t>
  </si>
  <si>
    <t xml:space="preserve">FEV/2031</t>
  </si>
  <si>
    <t xml:space="preserve">MAR/2031</t>
  </si>
  <si>
    <t xml:space="preserve">ATUALIZAÇÃO DO SALDO DEVEDOR — METODOLOGIA CÁLCULO EXATO</t>
  </si>
  <si>
    <t xml:space="preserve">Saldo corrigido anualmente: Saldo → (-) Pagamentos do Período → IPCA acum 12M → Juros comp. 0,85% a.m.</t>
  </si>
  <si>
    <t xml:space="preserve">PARCELAS MENSAIS (Cláusula 2.2.1) — Saldo Inicial: R$ 162.126,24</t>
  </si>
  <si>
    <t xml:space="preserve">PGTOS NO
PERÍODO</t>
  </si>
  <si>
    <t xml:space="preserve">SALDO APÓS
PAGAMENTOS</t>
  </si>
  <si>
    <t xml:space="preserve">IPCA ACUM
12 MESES (%)</t>
  </si>
  <si>
    <t xml:space="preserve">FATOR IPCA</t>
  </si>
  <si>
    <t xml:space="preserve">JUROS COMP.
12M (%)</t>
  </si>
  <si>
    <t xml:space="preserve">SALDO DEV.
ATUALIZADO</t>
  </si>
  <si>
    <t xml:space="preserve">ABR/21-MAR/22</t>
  </si>
  <si>
    <t xml:space="preserve">ABR/22-MAR/23</t>
  </si>
  <si>
    <t xml:space="preserve">ABR/23-MAR/24</t>
  </si>
  <si>
    <t xml:space="preserve">ABR/24-MAR/25</t>
  </si>
  <si>
    <t xml:space="preserve">ABR/25-MAR/26</t>
  </si>
  <si>
    <t xml:space="preserve">ABR/26-MAR/27</t>
  </si>
  <si>
    <t xml:space="preserve">ABR/27-MAR/28</t>
  </si>
  <si>
    <t xml:space="preserve">ABR/28-MAR/29</t>
  </si>
  <si>
    <t xml:space="preserve">ABR/29-MAR/30</t>
  </si>
  <si>
    <t xml:space="preserve">ABR/30-MAR/31</t>
  </si>
  <si>
    <t xml:space="preserve">TOTAL PGTOS:</t>
  </si>
  <si>
    <t xml:space="preserve">SALDO FINAL:</t>
  </si>
  <si>
    <t xml:space="preserve">PARCELAS ANUAIS (Cláusula 2.2.2) — Saldo Inicial: R$ 50.000,00 | 1º reajuste ABR/2023</t>
  </si>
  <si>
    <t xml:space="preserve">IPCA ACUM
12M (%)</t>
  </si>
  <si>
    <t xml:space="preserve">DÍVIDA TOTAL ATUALIZADA</t>
  </si>
  <si>
    <t xml:space="preserve">Saldo Devedor Mensal:</t>
  </si>
  <si>
    <t xml:space="preserve">Saldo Devedor Anual:</t>
  </si>
  <si>
    <t xml:space="preserve">TOTAL DÍVIDA ATUALIZADA:</t>
  </si>
  <si>
    <t xml:space="preserve">Total pago (mensal + anual):</t>
  </si>
  <si>
    <t xml:space="preserve">METODOLOGIA (idêntica ao Cálculo Exato - calculoexato.com.br):</t>
  </si>
  <si>
    <t xml:space="preserve">1. Toma o saldo devedor do período anterior</t>
  </si>
  <si>
    <t xml:space="preserve">2. Subtrai os pagamentos EFETIVOS realizados no período (12 parcelas por ano contratual)</t>
  </si>
  <si>
    <t xml:space="preserve">3. Aplica IPCA acumulado 12 meses (ABR a ABR)</t>
  </si>
  <si>
    <t xml:space="preserve">4. Aplica juros compostos 0,85% a.m. (= 10,69060% em 12 meses)</t>
  </si>
  <si>
    <t xml:space="preserve">5. Resultado = novo saldo devedor atualizado</t>
  </si>
  <si>
    <t xml:space="preserve">Os pagamentos são automaticamente puxados da aba "Parcelas Mensais" coluna G (Vlr Pago).</t>
  </si>
  <si>
    <t xml:space="preserve">Para as anuais: ordem Pagamento → Reajuste, com 1º reajuste em ABR/2023.</t>
  </si>
  <si>
    <t xml:space="preserve">CONTROLE — PARCELAS MENSAIS (Cálculo Exato)</t>
  </si>
  <si>
    <t xml:space="preserve">Saldo devedor: Saldo → (-) Pgto → Correção (IPCA+Juros separados, c/ arred. intermediário = método calculoexato.com.br)</t>
  </si>
  <si>
    <t xml:space="preserve">Juros:</t>
  </si>
  <si>
    <t xml:space="preserve">0,85% a.m. = 10,69060% em 12m</t>
  </si>
  <si>
    <t xml:space="preserve">IPCA (ABR a ABR)</t>
  </si>
  <si>
    <t xml:space="preserve">VLR A PAGAR
(Saldo÷Rest)</t>
  </si>
  <si>
    <t xml:space="preserve">VALOR ATUAL.
IPCA (VA)</t>
  </si>
  <si>
    <t xml:space="preserve">JUROS COMP.
10,69060%</t>
  </si>
  <si>
    <t xml:space="preserve">SALDO DEV.
VA + VJ</t>
  </si>
  <si>
    <t xml:space="preserve">MULTA
2%</t>
  </si>
  <si>
    <t xml:space="preserve">SALDO REM.
ANUAL</t>
  </si>
  <si>
    <t xml:space="preserve">ANUAL
PAGO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</si>
</sst>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#,##0.00;\(#,##0.00\);\-"/>
    <numFmt numFmtId="167" formatCode="0"/>
    <numFmt numFmtId="168" formatCode="#,##0.00"/>
    <numFmt numFmtId="169" formatCode="0.000000%;\(0.000000%\);\-"/>
    <numFmt numFmtId="170" formatCode="0.00%;\(0.00%\);\-"/>
    <numFmt numFmtId="171" formatCode="0.000000"/>
    <numFmt numFmtId="172" formatCode="#,##0.00;\(#,##0.00\)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008000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9"/>
      <color rgb="FFC55A11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sz val="9"/>
      <color rgb="FF999999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4"/>
      <color rgb="FFFF0000"/>
      <name val="Calibri"/>
      <family val="0"/>
      <charset val="1"/>
    </font>
    <font>
      <b val="true"/>
      <sz val="10"/>
      <color rgb="FF27AE60"/>
      <name val="Calibri"/>
      <family val="0"/>
      <charset val="1"/>
    </font>
    <font>
      <b val="true"/>
      <sz val="9"/>
      <color rgb="FF888888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color rgb="FF27AE60"/>
      <name val="Calibri"/>
      <family val="0"/>
      <charset val="1"/>
    </font>
    <font>
      <i val="true"/>
      <sz val="7"/>
      <color rgb="FF666666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EDF3"/>
        <bgColor rgb="FFE8F5E9"/>
      </patternFill>
    </fill>
    <fill>
      <patternFill patternType="solid">
        <fgColor rgb="FF2E75B6"/>
        <bgColor rgb="FF4472C4"/>
      </patternFill>
    </fill>
    <fill>
      <patternFill patternType="solid">
        <fgColor rgb="FFED7D31"/>
        <bgColor rgb="FFFF8080"/>
      </patternFill>
    </fill>
    <fill>
      <patternFill patternType="solid">
        <fgColor rgb="FF4472C4"/>
        <bgColor rgb="FF2E75B6"/>
      </patternFill>
    </fill>
    <fill>
      <patternFill patternType="solid">
        <fgColor rgb="FFD6E4F0"/>
        <bgColor rgb="FFE8EDF3"/>
      </patternFill>
    </fill>
    <fill>
      <patternFill patternType="solid">
        <fgColor rgb="FFFFFFEE"/>
        <bgColor rgb="FFFFFFFF"/>
      </patternFill>
    </fill>
    <fill>
      <patternFill patternType="solid">
        <fgColor rgb="FFF2F7FB"/>
        <bgColor rgb="FFE8F5E9"/>
      </patternFill>
    </fill>
    <fill>
      <patternFill patternType="solid">
        <fgColor rgb="FFFFF0E0"/>
        <bgColor rgb="FFFDE8E8"/>
      </patternFill>
    </fill>
    <fill>
      <patternFill patternType="solid">
        <fgColor rgb="FFFFF2CC"/>
        <bgColor rgb="FFFFF0E0"/>
      </patternFill>
    </fill>
    <fill>
      <patternFill patternType="solid">
        <fgColor rgb="FFE8F5E9"/>
        <bgColor rgb="FFE8EDF3"/>
      </patternFill>
    </fill>
    <fill>
      <patternFill patternType="solid">
        <fgColor rgb="FFFDE8E8"/>
        <bgColor rgb="FFFFF0E0"/>
      </patternFill>
    </fill>
    <fill>
      <patternFill patternType="solid">
        <fgColor rgb="FF2C2C2C"/>
        <bgColor rgb="FF40404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472C4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double">
        <color rgb="FF4472C4"/>
      </top>
      <bottom style="double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1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9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9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E8F5E9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F2F7FB"/>
      <rgbColor rgb="FFFFF0E0"/>
      <rgbColor rgb="FFFFFFEE"/>
      <rgbColor rgb="FFFF99CC"/>
      <rgbColor rgb="FFCC99FF"/>
      <rgbColor rgb="FFFDE8E8"/>
      <rgbColor rgb="FF4472C4"/>
      <rgbColor rgb="FF33CCCC"/>
      <rgbColor rgb="FF70AD47"/>
      <rgbColor rgb="FFFFCC00"/>
      <rgbColor rgb="FFFF9900"/>
      <rgbColor rgb="FFED7D31"/>
      <rgbColor rgb="FF666666"/>
      <rgbColor rgb="FF999999"/>
      <rgbColor rgb="FF1F3864"/>
      <rgbColor rgb="FF27AE60"/>
      <rgbColor rgb="FF003300"/>
      <rgbColor rgb="FF404040"/>
      <rgbColor rgb="FFC55A11"/>
      <rgbColor rgb="FFC0504D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6"/>
    <col collapsed="false" customWidth="true" hidden="false" outlineLevel="0" max="4" min="4" style="1" width="5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1"/>
    <col collapsed="false" customWidth="true" hidden="false" outlineLevel="0" max="15" min="14" style="1" width="16"/>
    <col collapsed="false" customWidth="true" hidden="false" outlineLevel="0" max="16" min="16" style="1" width="11"/>
    <col collapsed="false" customWidth="true" hidden="false" outlineLevel="0" max="17" min="17" style="1" width="12"/>
    <col collapsed="false" customWidth="true" hidden="false" outlineLevel="0" max="19" min="18" style="1" width="14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customFormat="false" ht="15" hidden="false" customHeight="true" outlineLevel="0" collapsed="false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B4" s="5" t="s">
        <v>2</v>
      </c>
      <c r="C4" s="6" t="s">
        <v>3</v>
      </c>
      <c r="J4" s="5" t="s">
        <v>4</v>
      </c>
      <c r="K4" s="6" t="s">
        <v>5</v>
      </c>
    </row>
    <row r="5" customFormat="false" ht="15" hidden="false" customHeight="true" outlineLevel="0" collapsed="false">
      <c r="B5" s="5" t="s">
        <v>6</v>
      </c>
      <c r="C5" s="6" t="s">
        <v>7</v>
      </c>
      <c r="J5" s="5" t="s">
        <v>8</v>
      </c>
      <c r="K5" s="7" t="n">
        <v>44279</v>
      </c>
    </row>
    <row r="6" customFormat="false" ht="15" hidden="false" customHeight="true" outlineLevel="0" collapsed="false">
      <c r="B6" s="5" t="s">
        <v>9</v>
      </c>
      <c r="C6" s="8" t="n">
        <v>235695.82</v>
      </c>
      <c r="E6" s="5" t="s">
        <v>10</v>
      </c>
      <c r="F6" s="8" t="n">
        <v>23569.58</v>
      </c>
      <c r="H6" s="5" t="s">
        <v>11</v>
      </c>
      <c r="I6" s="8" t="n">
        <v>162126.24</v>
      </c>
      <c r="K6" s="5" t="s">
        <v>12</v>
      </c>
      <c r="L6" s="6" t="s">
        <v>13</v>
      </c>
      <c r="N6" s="5" t="s">
        <v>14</v>
      </c>
      <c r="O6" s="6" t="s">
        <v>15</v>
      </c>
    </row>
    <row r="7" customFormat="false" ht="15" hidden="false" customHeight="true" outlineLevel="0" collapsed="false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customFormat="false" ht="15" hidden="false" customHeight="true" outlineLevel="0" collapsed="false">
      <c r="B8" s="10" t="s">
        <v>16</v>
      </c>
      <c r="C8" s="10"/>
      <c r="D8" s="10"/>
      <c r="E8" s="11"/>
      <c r="F8" s="10" t="s">
        <v>17</v>
      </c>
      <c r="G8" s="10"/>
      <c r="H8" s="11"/>
      <c r="I8" s="10" t="s">
        <v>18</v>
      </c>
      <c r="J8" s="10"/>
      <c r="K8" s="10" t="s">
        <v>19</v>
      </c>
      <c r="L8" s="10"/>
      <c r="M8" s="10"/>
      <c r="N8" s="10"/>
      <c r="O8" s="11"/>
      <c r="P8" s="10" t="s">
        <v>20</v>
      </c>
      <c r="Q8" s="10"/>
      <c r="R8" s="12" t="s">
        <v>21</v>
      </c>
      <c r="S8" s="13"/>
    </row>
    <row r="9" customFormat="false" ht="21.75" hidden="false" customHeight="true" outlineLevel="0" collapsed="false">
      <c r="B9" s="14" t="s">
        <v>22</v>
      </c>
      <c r="C9" s="14" t="s">
        <v>23</v>
      </c>
      <c r="D9" s="14" t="s">
        <v>24</v>
      </c>
      <c r="E9" s="14" t="s">
        <v>25</v>
      </c>
      <c r="F9" s="14" t="s">
        <v>26</v>
      </c>
      <c r="G9" s="14" t="s">
        <v>27</v>
      </c>
      <c r="H9" s="14" t="s">
        <v>28</v>
      </c>
      <c r="I9" s="14" t="s">
        <v>29</v>
      </c>
      <c r="J9" s="14" t="s">
        <v>30</v>
      </c>
      <c r="K9" s="14" t="s">
        <v>31</v>
      </c>
      <c r="L9" s="14" t="s">
        <v>32</v>
      </c>
      <c r="M9" s="14" t="s">
        <v>33</v>
      </c>
      <c r="N9" s="14" t="s">
        <v>34</v>
      </c>
      <c r="O9" s="14" t="s">
        <v>35</v>
      </c>
      <c r="P9" s="14" t="s">
        <v>36</v>
      </c>
      <c r="Q9" s="14" t="s">
        <v>37</v>
      </c>
      <c r="R9" s="15" t="s">
        <v>38</v>
      </c>
      <c r="S9" s="15" t="s">
        <v>39</v>
      </c>
    </row>
    <row r="10" customFormat="false" ht="15" hidden="false" customHeight="true" outlineLevel="0" collapsed="false">
      <c r="B10" s="16" t="s">
        <v>40</v>
      </c>
      <c r="C10" s="17" t="n">
        <v>2021</v>
      </c>
      <c r="D10" s="18" t="s">
        <v>41</v>
      </c>
      <c r="E10" s="19" t="n">
        <v>44279</v>
      </c>
      <c r="F10" s="20" t="n">
        <v>23569.58</v>
      </c>
      <c r="G10" s="21" t="n">
        <v>23569.58</v>
      </c>
      <c r="H10" s="21" t="n">
        <v>162126.24</v>
      </c>
      <c r="I10" s="22" t="n">
        <f aca="false">'Índices IPCA'!C4</f>
        <v>5674.72</v>
      </c>
      <c r="J10" s="23"/>
      <c r="K10" s="23"/>
      <c r="L10" s="20" t="n">
        <f aca="false">H10</f>
        <v>162126.24</v>
      </c>
      <c r="M10" s="23"/>
      <c r="N10" s="20" t="n">
        <f aca="false">H10</f>
        <v>162126.24</v>
      </c>
      <c r="O10" s="20" t="n">
        <f aca="false">H10</f>
        <v>162126.24</v>
      </c>
      <c r="P10" s="23"/>
      <c r="Q10" s="23"/>
      <c r="R10" s="24"/>
      <c r="S10" s="23"/>
    </row>
    <row r="11" customFormat="false" ht="15" hidden="false" customHeight="true" outlineLevel="0" collapsed="false">
      <c r="B11" s="25" t="n">
        <v>1</v>
      </c>
      <c r="C11" s="26" t="n">
        <v>2021</v>
      </c>
      <c r="D11" s="25" t="s">
        <v>42</v>
      </c>
      <c r="E11" s="27" t="n">
        <v>44298</v>
      </c>
      <c r="F11" s="28" t="n">
        <f aca="false">Reajustes!H4</f>
        <v>1351.05</v>
      </c>
      <c r="G11" s="29" t="n">
        <v>1392.72</v>
      </c>
      <c r="H11" s="30" t="n">
        <f aca="false">O10-IF(G11="",0,G11)</f>
        <v>160733.52</v>
      </c>
      <c r="I11" s="31" t="n">
        <f aca="false">'Índices IPCA'!C5</f>
        <v>5692.31</v>
      </c>
      <c r="J11" s="32" t="n">
        <f aca="false">'Índices IPCA'!D5</f>
        <v>0.00309971240871799</v>
      </c>
      <c r="K11" s="33"/>
      <c r="L11" s="30" t="n">
        <f aca="false">H11</f>
        <v>160733.52</v>
      </c>
      <c r="M11" s="33"/>
      <c r="N11" s="30" t="n">
        <f aca="false">H11</f>
        <v>160733.52</v>
      </c>
      <c r="O11" s="30" t="n">
        <f aca="false">H11</f>
        <v>160733.52</v>
      </c>
      <c r="P11" s="30" t="n">
        <f aca="false">IF(AND(E11&lt;&gt;"",E11&gt;Vencimentos!D3),F11*0.02,0)</f>
        <v>0</v>
      </c>
      <c r="Q11" s="30" t="n">
        <f aca="false">IF(AND(E11&lt;&gt;"",E11&gt;Vencimentos!D3),F11*0.00033*(E11-Vencimentos!D3),0)</f>
        <v>0</v>
      </c>
      <c r="R11" s="24"/>
      <c r="S11" s="23"/>
    </row>
    <row r="12" customFormat="false" ht="15" hidden="false" customHeight="true" outlineLevel="0" collapsed="false">
      <c r="B12" s="34" t="n">
        <v>2</v>
      </c>
      <c r="C12" s="35" t="n">
        <v>2021</v>
      </c>
      <c r="D12" s="34" t="s">
        <v>43</v>
      </c>
      <c r="E12" s="36" t="n">
        <v>44323</v>
      </c>
      <c r="F12" s="37" t="n">
        <f aca="false">Reajustes!H4</f>
        <v>1351.05</v>
      </c>
      <c r="G12" s="29" t="n">
        <v>1392.72</v>
      </c>
      <c r="H12" s="38" t="n">
        <f aca="false">O11-IF(G12="",0,G12)</f>
        <v>159340.8</v>
      </c>
      <c r="I12" s="22" t="n">
        <f aca="false">'Índices IPCA'!C6</f>
        <v>5739.56</v>
      </c>
      <c r="J12" s="39" t="n">
        <f aca="false">'Índices IPCA'!D6</f>
        <v>0.00830067231053825</v>
      </c>
      <c r="K12" s="24"/>
      <c r="L12" s="38" t="n">
        <f aca="false">H12</f>
        <v>159340.8</v>
      </c>
      <c r="M12" s="24"/>
      <c r="N12" s="38" t="n">
        <f aca="false">H12</f>
        <v>159340.8</v>
      </c>
      <c r="O12" s="38" t="n">
        <f aca="false">H12</f>
        <v>159340.8</v>
      </c>
      <c r="P12" s="38" t="n">
        <f aca="false">IF(AND(E12&lt;&gt;"",E12&gt;Vencimentos!D4),F12*0.02,0)</f>
        <v>0</v>
      </c>
      <c r="Q12" s="38" t="n">
        <f aca="false">IF(AND(E12&lt;&gt;"",E12&gt;Vencimentos!D4),F12*0.00033*(E12-Vencimentos!D4),0)</f>
        <v>0</v>
      </c>
      <c r="R12" s="24"/>
      <c r="S12" s="23"/>
    </row>
    <row r="13" customFormat="false" ht="15" hidden="false" customHeight="true" outlineLevel="0" collapsed="false">
      <c r="B13" s="40" t="n">
        <v>3</v>
      </c>
      <c r="C13" s="41" t="n">
        <v>2021</v>
      </c>
      <c r="D13" s="40" t="s">
        <v>44</v>
      </c>
      <c r="E13" s="42" t="n">
        <v>44357</v>
      </c>
      <c r="F13" s="43" t="n">
        <f aca="false">Reajustes!H4</f>
        <v>1351.05</v>
      </c>
      <c r="G13" s="29" t="n">
        <v>1392.72</v>
      </c>
      <c r="H13" s="44" t="n">
        <f aca="false">O12-IF(G13="",0,G13)</f>
        <v>157948.08</v>
      </c>
      <c r="I13" s="45" t="n">
        <f aca="false">'Índices IPCA'!C7</f>
        <v>5769.98</v>
      </c>
      <c r="J13" s="46" t="n">
        <f aca="false">'Índices IPCA'!D7</f>
        <v>0.00530005784415516</v>
      </c>
      <c r="K13" s="47"/>
      <c r="L13" s="44" t="n">
        <f aca="false">H13</f>
        <v>157948.08</v>
      </c>
      <c r="M13" s="47"/>
      <c r="N13" s="44" t="n">
        <f aca="false">H13</f>
        <v>157948.08</v>
      </c>
      <c r="O13" s="44" t="n">
        <f aca="false">H13</f>
        <v>157948.08</v>
      </c>
      <c r="P13" s="44" t="n">
        <f aca="false">IF(AND(E13&lt;&gt;"",E13&gt;Vencimentos!D5),F13*0.02,0)</f>
        <v>0</v>
      </c>
      <c r="Q13" s="44" t="n">
        <f aca="false">IF(AND(E13&lt;&gt;"",E13&gt;Vencimentos!D5),F13*0.00033*(E13-Vencimentos!D5),0)</f>
        <v>0</v>
      </c>
      <c r="R13" s="24"/>
      <c r="S13" s="23"/>
    </row>
    <row r="14" customFormat="false" ht="15" hidden="false" customHeight="true" outlineLevel="0" collapsed="false">
      <c r="B14" s="34" t="n">
        <v>4</v>
      </c>
      <c r="C14" s="35" t="n">
        <v>2021</v>
      </c>
      <c r="D14" s="34" t="s">
        <v>45</v>
      </c>
      <c r="E14" s="36" t="n">
        <v>44386</v>
      </c>
      <c r="F14" s="37" t="n">
        <f aca="false">Reajustes!H4</f>
        <v>1351.05</v>
      </c>
      <c r="G14" s="29" t="n">
        <v>1392.72</v>
      </c>
      <c r="H14" s="38" t="n">
        <f aca="false">O13-IF(G14="",0,G14)</f>
        <v>156555.36</v>
      </c>
      <c r="I14" s="22" t="n">
        <f aca="false">'Índices IPCA'!C8</f>
        <v>5825.37</v>
      </c>
      <c r="J14" s="39" t="n">
        <f aca="false">'Índices IPCA'!D8</f>
        <v>0.00959968665402659</v>
      </c>
      <c r="K14" s="24"/>
      <c r="L14" s="38" t="n">
        <f aca="false">H14</f>
        <v>156555.36</v>
      </c>
      <c r="M14" s="24"/>
      <c r="N14" s="38" t="n">
        <f aca="false">H14</f>
        <v>156555.36</v>
      </c>
      <c r="O14" s="38" t="n">
        <f aca="false">H14</f>
        <v>156555.36</v>
      </c>
      <c r="P14" s="38" t="n">
        <f aca="false">IF(AND(E14&lt;&gt;"",E14&gt;Vencimentos!D6),F14*0.02,0)</f>
        <v>0</v>
      </c>
      <c r="Q14" s="38" t="n">
        <f aca="false">IF(AND(E14&lt;&gt;"",E14&gt;Vencimentos!D6),F14*0.00033*(E14-Vencimentos!D6),0)</f>
        <v>0</v>
      </c>
      <c r="R14" s="24"/>
      <c r="S14" s="23"/>
    </row>
    <row r="15" customFormat="false" ht="15" hidden="false" customHeight="true" outlineLevel="0" collapsed="false">
      <c r="B15" s="40" t="n">
        <v>5</v>
      </c>
      <c r="C15" s="41" t="n">
        <v>2021</v>
      </c>
      <c r="D15" s="40" t="s">
        <v>46</v>
      </c>
      <c r="E15" s="42" t="n">
        <v>44413</v>
      </c>
      <c r="F15" s="43" t="n">
        <f aca="false">Reajustes!H4</f>
        <v>1351.05</v>
      </c>
      <c r="G15" s="29" t="n">
        <v>1392.72</v>
      </c>
      <c r="H15" s="44" t="n">
        <f aca="false">O14-IF(G15="",0,G15)</f>
        <v>155162.64</v>
      </c>
      <c r="I15" s="45" t="n">
        <f aca="false">'Índices IPCA'!C9</f>
        <v>5876.05</v>
      </c>
      <c r="J15" s="46" t="n">
        <f aca="false">'Índices IPCA'!D9</f>
        <v>0.00869987657436357</v>
      </c>
      <c r="K15" s="47"/>
      <c r="L15" s="44" t="n">
        <f aca="false">H15</f>
        <v>155162.64</v>
      </c>
      <c r="M15" s="47"/>
      <c r="N15" s="44" t="n">
        <f aca="false">H15</f>
        <v>155162.64</v>
      </c>
      <c r="O15" s="44" t="n">
        <f aca="false">H15</f>
        <v>155162.64</v>
      </c>
      <c r="P15" s="44" t="n">
        <f aca="false">IF(AND(E15&lt;&gt;"",E15&gt;Vencimentos!D7),F15*0.02,0)</f>
        <v>0</v>
      </c>
      <c r="Q15" s="44" t="n">
        <f aca="false">IF(AND(E15&lt;&gt;"",E15&gt;Vencimentos!D7),F15*0.00033*(E15-Vencimentos!D7),0)</f>
        <v>0</v>
      </c>
      <c r="R15" s="24"/>
      <c r="S15" s="23"/>
    </row>
    <row r="16" customFormat="false" ht="15" hidden="false" customHeight="true" outlineLevel="0" collapsed="false">
      <c r="B16" s="34" t="n">
        <v>6</v>
      </c>
      <c r="C16" s="35" t="n">
        <v>2021</v>
      </c>
      <c r="D16" s="34" t="s">
        <v>47</v>
      </c>
      <c r="E16" s="36" t="n">
        <v>44449</v>
      </c>
      <c r="F16" s="37" t="n">
        <f aca="false">Reajustes!H4</f>
        <v>1351.05</v>
      </c>
      <c r="G16" s="29" t="n">
        <v>1392.72</v>
      </c>
      <c r="H16" s="38" t="n">
        <f aca="false">O15-IF(G16="",0,G16)</f>
        <v>153769.92</v>
      </c>
      <c r="I16" s="22" t="n">
        <f aca="false">'Índices IPCA'!C10</f>
        <v>5944.21</v>
      </c>
      <c r="J16" s="39" t="n">
        <f aca="false">'Índices IPCA'!D10</f>
        <v>0.0115996290024761</v>
      </c>
      <c r="K16" s="24"/>
      <c r="L16" s="38" t="n">
        <f aca="false">H16</f>
        <v>153769.92</v>
      </c>
      <c r="M16" s="24"/>
      <c r="N16" s="38" t="n">
        <f aca="false">H16</f>
        <v>153769.92</v>
      </c>
      <c r="O16" s="38" t="n">
        <f aca="false">H16</f>
        <v>153769.92</v>
      </c>
      <c r="P16" s="38" t="n">
        <f aca="false">IF(AND(E16&lt;&gt;"",E16&gt;Vencimentos!D8),F16*0.02,0)</f>
        <v>0</v>
      </c>
      <c r="Q16" s="38" t="n">
        <f aca="false">IF(AND(E16&lt;&gt;"",E16&gt;Vencimentos!D8),F16*0.00033*(E16-Vencimentos!D8),0)</f>
        <v>0</v>
      </c>
      <c r="R16" s="24"/>
      <c r="S16" s="23"/>
    </row>
    <row r="17" customFormat="false" ht="15" hidden="false" customHeight="true" outlineLevel="0" collapsed="false">
      <c r="B17" s="40" t="n">
        <v>7</v>
      </c>
      <c r="C17" s="41" t="n">
        <v>2021</v>
      </c>
      <c r="D17" s="40" t="s">
        <v>48</v>
      </c>
      <c r="E17" s="42" t="n">
        <v>44480</v>
      </c>
      <c r="F17" s="43" t="n">
        <f aca="false">Reajustes!H4</f>
        <v>1351.05</v>
      </c>
      <c r="G17" s="29" t="n">
        <v>1392.72</v>
      </c>
      <c r="H17" s="44" t="n">
        <f aca="false">O16-IF(G17="",0,G17)</f>
        <v>152377.2</v>
      </c>
      <c r="I17" s="45" t="n">
        <f aca="false">'Índices IPCA'!C11</f>
        <v>6018.51</v>
      </c>
      <c r="J17" s="46" t="n">
        <f aca="false">'Índices IPCA'!D11</f>
        <v>0.0124995583937984</v>
      </c>
      <c r="K17" s="47"/>
      <c r="L17" s="44" t="n">
        <f aca="false">H17</f>
        <v>152377.2</v>
      </c>
      <c r="M17" s="47"/>
      <c r="N17" s="44" t="n">
        <f aca="false">H17</f>
        <v>152377.2</v>
      </c>
      <c r="O17" s="44" t="n">
        <f aca="false">H17</f>
        <v>152377.2</v>
      </c>
      <c r="P17" s="44" t="n">
        <f aca="false">IF(AND(E17&lt;&gt;"",E17&gt;Vencimentos!D9),F17*0.02,0)</f>
        <v>0</v>
      </c>
      <c r="Q17" s="44" t="n">
        <f aca="false">IF(AND(E17&lt;&gt;"",E17&gt;Vencimentos!D9),F17*0.00033*(E17-Vencimentos!D9),0)</f>
        <v>0</v>
      </c>
      <c r="R17" s="24"/>
      <c r="S17" s="23"/>
    </row>
    <row r="18" customFormat="false" ht="15" hidden="false" customHeight="true" outlineLevel="0" collapsed="false">
      <c r="B18" s="34" t="n">
        <v>8</v>
      </c>
      <c r="C18" s="35" t="n">
        <v>2021</v>
      </c>
      <c r="D18" s="34" t="s">
        <v>49</v>
      </c>
      <c r="E18" s="36" t="n">
        <v>44510</v>
      </c>
      <c r="F18" s="37" t="n">
        <f aca="false">Reajustes!H4</f>
        <v>1351.05</v>
      </c>
      <c r="G18" s="29" t="n">
        <v>1392.72</v>
      </c>
      <c r="H18" s="38" t="n">
        <f aca="false">O17-IF(G18="",0,G18)</f>
        <v>150984.48</v>
      </c>
      <c r="I18" s="22" t="n">
        <f aca="false">'Índices IPCA'!C12</f>
        <v>6075.69</v>
      </c>
      <c r="J18" s="39" t="n">
        <f aca="false">'Índices IPCA'!D12</f>
        <v>0.00950069037020781</v>
      </c>
      <c r="K18" s="24"/>
      <c r="L18" s="38" t="n">
        <f aca="false">H18</f>
        <v>150984.48</v>
      </c>
      <c r="M18" s="24"/>
      <c r="N18" s="38" t="n">
        <f aca="false">H18</f>
        <v>150984.48</v>
      </c>
      <c r="O18" s="38" t="n">
        <f aca="false">H18</f>
        <v>150984.48</v>
      </c>
      <c r="P18" s="38" t="n">
        <f aca="false">IF(AND(E18&lt;&gt;"",E18&gt;Vencimentos!D10),F18*0.02,0)</f>
        <v>0</v>
      </c>
      <c r="Q18" s="38" t="n">
        <f aca="false">IF(AND(E18&lt;&gt;"",E18&gt;Vencimentos!D10),F18*0.00033*(E18-Vencimentos!D10),0)</f>
        <v>0</v>
      </c>
      <c r="R18" s="24"/>
      <c r="S18" s="23"/>
    </row>
    <row r="19" customFormat="false" ht="15" hidden="false" customHeight="true" outlineLevel="0" collapsed="false">
      <c r="B19" s="40" t="n">
        <v>9</v>
      </c>
      <c r="C19" s="41" t="n">
        <v>2021</v>
      </c>
      <c r="D19" s="40" t="s">
        <v>50</v>
      </c>
      <c r="E19" s="42" t="n">
        <v>44540</v>
      </c>
      <c r="F19" s="43" t="n">
        <f aca="false">Reajustes!H4</f>
        <v>1351.05</v>
      </c>
      <c r="G19" s="29" t="n">
        <v>1392.72</v>
      </c>
      <c r="H19" s="44" t="n">
        <f aca="false">O18-IF(G19="",0,G19)</f>
        <v>149591.76</v>
      </c>
      <c r="I19" s="45" t="n">
        <f aca="false">'Índices IPCA'!C13</f>
        <v>6120.04</v>
      </c>
      <c r="J19" s="46" t="n">
        <f aca="false">'Índices IPCA'!D13</f>
        <v>0.00729958243425856</v>
      </c>
      <c r="K19" s="47"/>
      <c r="L19" s="44" t="n">
        <f aca="false">H19</f>
        <v>149591.76</v>
      </c>
      <c r="M19" s="47"/>
      <c r="N19" s="44" t="n">
        <f aca="false">H19</f>
        <v>149591.76</v>
      </c>
      <c r="O19" s="44" t="n">
        <f aca="false">H19</f>
        <v>149591.76</v>
      </c>
      <c r="P19" s="44" t="n">
        <f aca="false">IF(AND(E19&lt;&gt;"",E19&gt;Vencimentos!D11),F19*0.02,0)</f>
        <v>0</v>
      </c>
      <c r="Q19" s="44" t="n">
        <f aca="false">IF(AND(E19&lt;&gt;"",E19&gt;Vencimentos!D11),F19*0.00033*(E19-Vencimentos!D11),0)</f>
        <v>0</v>
      </c>
      <c r="R19" s="24"/>
      <c r="S19" s="48" t="n">
        <v>5000</v>
      </c>
    </row>
    <row r="20" customFormat="false" ht="15" hidden="false" customHeight="true" outlineLevel="0" collapsed="false">
      <c r="B20" s="34" t="n">
        <v>10</v>
      </c>
      <c r="C20" s="35" t="n">
        <v>2022</v>
      </c>
      <c r="D20" s="34" t="s">
        <v>51</v>
      </c>
      <c r="E20" s="36" t="n">
        <v>44572</v>
      </c>
      <c r="F20" s="37" t="n">
        <f aca="false">Reajustes!H4</f>
        <v>1351.05</v>
      </c>
      <c r="G20" s="29" t="n">
        <v>1392.72</v>
      </c>
      <c r="H20" s="38" t="n">
        <f aca="false">O19-IF(G20="",0,G20)</f>
        <v>148199.04</v>
      </c>
      <c r="I20" s="22" t="n">
        <f aca="false">'Índices IPCA'!C14</f>
        <v>6153.09</v>
      </c>
      <c r="J20" s="39" t="n">
        <f aca="false">'Índices IPCA'!D14</f>
        <v>0.00540029150136277</v>
      </c>
      <c r="K20" s="24"/>
      <c r="L20" s="38" t="n">
        <f aca="false">H20</f>
        <v>148199.04</v>
      </c>
      <c r="M20" s="24"/>
      <c r="N20" s="38" t="n">
        <f aca="false">H20</f>
        <v>148199.04</v>
      </c>
      <c r="O20" s="38" t="n">
        <f aca="false">H20</f>
        <v>148199.04</v>
      </c>
      <c r="P20" s="38" t="n">
        <f aca="false">IF(AND(E20&lt;&gt;"",E20&gt;Vencimentos!D12),F20*0.02,0)</f>
        <v>27.021</v>
      </c>
      <c r="Q20" s="38" t="n">
        <f aca="false">IF(AND(E20&lt;&gt;"",E20&gt;Vencimentos!D12),F20*0.00033*(E20-Vencimentos!D12),0)</f>
        <v>0.4458465</v>
      </c>
      <c r="R20" s="24"/>
      <c r="S20" s="23"/>
    </row>
    <row r="21" customFormat="false" ht="15" hidden="false" customHeight="true" outlineLevel="0" collapsed="false">
      <c r="B21" s="40" t="n">
        <v>11</v>
      </c>
      <c r="C21" s="41" t="n">
        <v>2022</v>
      </c>
      <c r="D21" s="40" t="s">
        <v>52</v>
      </c>
      <c r="E21" s="42" t="n">
        <v>44602</v>
      </c>
      <c r="F21" s="43" t="n">
        <f aca="false">Reajustes!H4</f>
        <v>1351.05</v>
      </c>
      <c r="G21" s="29" t="n">
        <v>1392.72</v>
      </c>
      <c r="H21" s="44" t="n">
        <f aca="false">O20-IF(G21="",0,G21)</f>
        <v>146806.32</v>
      </c>
      <c r="I21" s="45" t="n">
        <f aca="false">'Índices IPCA'!C15</f>
        <v>6215.24</v>
      </c>
      <c r="J21" s="46" t="n">
        <f aca="false">'Índices IPCA'!D15</f>
        <v>0.0101006161132049</v>
      </c>
      <c r="K21" s="47"/>
      <c r="L21" s="44" t="n">
        <f aca="false">H21</f>
        <v>146806.32</v>
      </c>
      <c r="M21" s="47"/>
      <c r="N21" s="44" t="n">
        <f aca="false">H21</f>
        <v>146806.32</v>
      </c>
      <c r="O21" s="44" t="n">
        <f aca="false">H21</f>
        <v>146806.32</v>
      </c>
      <c r="P21" s="44" t="n">
        <f aca="false">IF(AND(E21&lt;&gt;"",E21&gt;Vencimentos!D13),F21*0.02,0)</f>
        <v>0</v>
      </c>
      <c r="Q21" s="44" t="n">
        <f aca="false">IF(AND(E21&lt;&gt;"",E21&gt;Vencimentos!D13),F21*0.00033*(E21-Vencimentos!D13),0)</f>
        <v>0</v>
      </c>
      <c r="R21" s="24"/>
      <c r="S21" s="23"/>
    </row>
    <row r="22" customFormat="false" ht="15" hidden="false" customHeight="true" outlineLevel="0" collapsed="false">
      <c r="B22" s="49" t="n">
        <v>12</v>
      </c>
      <c r="C22" s="50" t="n">
        <v>2022</v>
      </c>
      <c r="D22" s="49" t="s">
        <v>41</v>
      </c>
      <c r="E22" s="51" t="n">
        <v>44630</v>
      </c>
      <c r="F22" s="52" t="n">
        <f aca="false">Reajustes!H4</f>
        <v>1351.05</v>
      </c>
      <c r="G22" s="29" t="n">
        <v>1392.72</v>
      </c>
      <c r="H22" s="53" t="n">
        <f aca="false">O21-IF(G22="",0,G22)</f>
        <v>145413.6</v>
      </c>
      <c r="I22" s="54" t="n">
        <f aca="false">'Índices IPCA'!C16</f>
        <v>6315.93</v>
      </c>
      <c r="J22" s="55" t="n">
        <f aca="false">'Índices IPCA'!D16</f>
        <v>0.0162005007047195</v>
      </c>
      <c r="K22" s="55" t="n">
        <f aca="false">Reajustes!F4</f>
        <v>0.112994121295853</v>
      </c>
      <c r="L22" s="53" t="n">
        <f aca="false">IF(K22=0,H22,H22*(1+K22))</f>
        <v>161844.481956467</v>
      </c>
      <c r="M22" s="55" t="n">
        <f aca="false">Reajustes!E5</f>
        <v>0.106906226923436</v>
      </c>
      <c r="N22" s="53" t="n">
        <f aca="false">L22*(1+M22)</f>
        <v>179146.664870811</v>
      </c>
      <c r="O22" s="56" t="n">
        <f aca="false">N22</f>
        <v>179146.664870811</v>
      </c>
      <c r="P22" s="53" t="n">
        <f aca="false">IF(AND(E22&lt;&gt;"",E22&gt;Vencimentos!D14),F22*0.02,0)</f>
        <v>0</v>
      </c>
      <c r="Q22" s="53" t="n">
        <f aca="false">IF(AND(E22&lt;&gt;"",E22&gt;Vencimentos!D14),F22*0.00033*(E22-Vencimentos!D14),0)</f>
        <v>0</v>
      </c>
      <c r="R22" s="24"/>
      <c r="S22" s="23"/>
    </row>
    <row r="23" customFormat="false" ht="15" hidden="false" customHeight="true" outlineLevel="0" collapsed="false">
      <c r="B23" s="57" t="n">
        <v>13</v>
      </c>
      <c r="C23" s="58" t="n">
        <v>2022</v>
      </c>
      <c r="D23" s="57" t="s">
        <v>42</v>
      </c>
      <c r="E23" s="27" t="n">
        <v>44662</v>
      </c>
      <c r="F23" s="28" t="n">
        <f aca="false">Reajustes!H5</f>
        <v>1664.46674570816</v>
      </c>
      <c r="G23" s="29" t="n">
        <v>1392.72</v>
      </c>
      <c r="H23" s="30" t="n">
        <f aca="false">O22-IF(G23="",0,G23)</f>
        <v>177753.944870811</v>
      </c>
      <c r="I23" s="31" t="n">
        <f aca="false">'Índices IPCA'!C17</f>
        <v>6382.88</v>
      </c>
      <c r="J23" s="32" t="n">
        <f aca="false">'Índices IPCA'!D17</f>
        <v>0.0106001808126436</v>
      </c>
      <c r="K23" s="33"/>
      <c r="L23" s="30" t="n">
        <f aca="false">H23</f>
        <v>177753.944870811</v>
      </c>
      <c r="M23" s="33"/>
      <c r="N23" s="30" t="n">
        <f aca="false">H23</f>
        <v>177753.944870811</v>
      </c>
      <c r="O23" s="30" t="n">
        <f aca="false">H23</f>
        <v>177753.944870811</v>
      </c>
      <c r="P23" s="30" t="n">
        <f aca="false">IF(AND(E23&lt;&gt;"",E23&gt;Vencimentos!D15),F23*0.02,0)</f>
        <v>0</v>
      </c>
      <c r="Q23" s="30" t="n">
        <f aca="false">IF(AND(E23&lt;&gt;"",E23&gt;Vencimentos!D15),F23*0.00033*(E23-Vencimentos!D15),0)</f>
        <v>0</v>
      </c>
      <c r="R23" s="59" t="n">
        <f aca="false">Reajustes!I21</f>
        <v>45000</v>
      </c>
      <c r="S23" s="23"/>
    </row>
    <row r="24" customFormat="false" ht="15" hidden="false" customHeight="true" outlineLevel="0" collapsed="false">
      <c r="B24" s="34" t="n">
        <v>14</v>
      </c>
      <c r="C24" s="35" t="n">
        <v>2022</v>
      </c>
      <c r="D24" s="34" t="s">
        <v>43</v>
      </c>
      <c r="E24" s="36" t="n">
        <v>44691</v>
      </c>
      <c r="F24" s="37" t="n">
        <f aca="false">Reajustes!H5</f>
        <v>1664.46674570816</v>
      </c>
      <c r="G24" s="29" t="n">
        <v>1392.72</v>
      </c>
      <c r="H24" s="38" t="n">
        <f aca="false">O23-IF(G24="",0,G24)</f>
        <v>176361.224870811</v>
      </c>
      <c r="I24" s="22" t="n">
        <f aca="false">'Índices IPCA'!C18</f>
        <v>6412.88</v>
      </c>
      <c r="J24" s="39" t="n">
        <f aca="false">'Índices IPCA'!D18</f>
        <v>0.00470007269445767</v>
      </c>
      <c r="K24" s="24"/>
      <c r="L24" s="38" t="n">
        <f aca="false">H24</f>
        <v>176361.224870811</v>
      </c>
      <c r="M24" s="24"/>
      <c r="N24" s="38" t="n">
        <f aca="false">H24</f>
        <v>176361.224870811</v>
      </c>
      <c r="O24" s="38" t="n">
        <f aca="false">H24</f>
        <v>176361.224870811</v>
      </c>
      <c r="P24" s="38" t="n">
        <f aca="false">IF(AND(E24&lt;&gt;"",E24&gt;Vencimentos!D16),F24*0.02,0)</f>
        <v>0</v>
      </c>
      <c r="Q24" s="38" t="n">
        <f aca="false">IF(AND(E24&lt;&gt;"",E24&gt;Vencimentos!D16),F24*0.00033*(E24-Vencimentos!D16),0)</f>
        <v>0</v>
      </c>
      <c r="R24" s="24"/>
      <c r="S24" s="23"/>
    </row>
    <row r="25" customFormat="false" ht="15" hidden="false" customHeight="true" outlineLevel="0" collapsed="false">
      <c r="B25" s="40" t="n">
        <v>15</v>
      </c>
      <c r="C25" s="41" t="n">
        <v>2022</v>
      </c>
      <c r="D25" s="40" t="s">
        <v>44</v>
      </c>
      <c r="E25" s="42" t="n">
        <v>44726</v>
      </c>
      <c r="F25" s="43" t="n">
        <f aca="false">Reajustes!H5</f>
        <v>1664.46674570816</v>
      </c>
      <c r="G25" s="29" t="n">
        <v>1392.72</v>
      </c>
      <c r="H25" s="44" t="n">
        <f aca="false">O24-IF(G25="",0,G25)</f>
        <v>174968.504870811</v>
      </c>
      <c r="I25" s="45" t="n">
        <f aca="false">'Índices IPCA'!C19</f>
        <v>6455.85</v>
      </c>
      <c r="J25" s="46" t="n">
        <f aca="false">'Índices IPCA'!D19</f>
        <v>0.00670057758760499</v>
      </c>
      <c r="K25" s="47"/>
      <c r="L25" s="44" t="n">
        <f aca="false">H25</f>
        <v>174968.504870811</v>
      </c>
      <c r="M25" s="47"/>
      <c r="N25" s="44" t="n">
        <f aca="false">H25</f>
        <v>174968.504870811</v>
      </c>
      <c r="O25" s="44" t="n">
        <f aca="false">H25</f>
        <v>174968.504870811</v>
      </c>
      <c r="P25" s="44" t="n">
        <f aca="false">IF(AND(E25&lt;&gt;"",E25&gt;Vencimentos!D17),F25*0.02,0)</f>
        <v>33.2893349141633</v>
      </c>
      <c r="Q25" s="44" t="n">
        <f aca="false">IF(AND(E25&lt;&gt;"",E25&gt;Vencimentos!D17),F25*0.00033*(E25-Vencimentos!D17),0)</f>
        <v>2.19709610433478</v>
      </c>
      <c r="R25" s="24"/>
      <c r="S25" s="23"/>
    </row>
    <row r="26" customFormat="false" ht="15" hidden="false" customHeight="true" outlineLevel="0" collapsed="false">
      <c r="B26" s="34" t="n">
        <v>16</v>
      </c>
      <c r="C26" s="35" t="n">
        <v>2022</v>
      </c>
      <c r="D26" s="34" t="s">
        <v>45</v>
      </c>
      <c r="E26" s="36" t="n">
        <v>44783</v>
      </c>
      <c r="F26" s="37" t="n">
        <f aca="false">Reajustes!H5</f>
        <v>1664.46674570816</v>
      </c>
      <c r="G26" s="29" t="n">
        <v>1392.72</v>
      </c>
      <c r="H26" s="38" t="n">
        <f aca="false">O25-IF(G26="",0,G26)</f>
        <v>173575.784870811</v>
      </c>
      <c r="I26" s="22" t="n">
        <f aca="false">'Índices IPCA'!C20</f>
        <v>6411.95</v>
      </c>
      <c r="J26" s="39" t="n">
        <f aca="false">'Índices IPCA'!D20</f>
        <v>-0.00680003407761961</v>
      </c>
      <c r="K26" s="24"/>
      <c r="L26" s="38" t="n">
        <f aca="false">H26</f>
        <v>173575.784870811</v>
      </c>
      <c r="M26" s="24"/>
      <c r="N26" s="38" t="n">
        <f aca="false">H26</f>
        <v>173575.784870811</v>
      </c>
      <c r="O26" s="38" t="n">
        <f aca="false">H26</f>
        <v>173575.784870811</v>
      </c>
      <c r="P26" s="38" t="n">
        <f aca="false">IF(AND(E26&lt;&gt;"",E26&gt;Vencimentos!D18),F26*0.02,0)</f>
        <v>33.2893349141633</v>
      </c>
      <c r="Q26" s="38" t="n">
        <f aca="false">IF(AND(E26&lt;&gt;"",E26&gt;Vencimentos!D18),F26*0.00033*(E26-Vencimentos!D18),0)</f>
        <v>16.4782207825108</v>
      </c>
      <c r="R26" s="24"/>
      <c r="S26" s="23"/>
    </row>
    <row r="27" customFormat="false" ht="15" hidden="false" customHeight="true" outlineLevel="0" collapsed="false">
      <c r="B27" s="40" t="n">
        <v>17</v>
      </c>
      <c r="C27" s="41" t="n">
        <v>2022</v>
      </c>
      <c r="D27" s="40" t="s">
        <v>46</v>
      </c>
      <c r="E27" s="42" t="n">
        <v>44844</v>
      </c>
      <c r="F27" s="43" t="n">
        <f aca="false">Reajustes!H5</f>
        <v>1664.46674570816</v>
      </c>
      <c r="G27" s="29" t="n">
        <v>1392.72</v>
      </c>
      <c r="H27" s="44" t="n">
        <f aca="false">O26-IF(G27="",0,G27)</f>
        <v>172183.064870811</v>
      </c>
      <c r="I27" s="45" t="n">
        <f aca="false">'Índices IPCA'!C21</f>
        <v>6388.87</v>
      </c>
      <c r="J27" s="46" t="n">
        <f aca="false">'Índices IPCA'!D21</f>
        <v>-0.00359952900443702</v>
      </c>
      <c r="K27" s="47"/>
      <c r="L27" s="44" t="n">
        <f aca="false">H27</f>
        <v>172183.064870811</v>
      </c>
      <c r="M27" s="47"/>
      <c r="N27" s="44" t="n">
        <f aca="false">H27</f>
        <v>172183.064870811</v>
      </c>
      <c r="O27" s="44" t="n">
        <f aca="false">H27</f>
        <v>172183.064870811</v>
      </c>
      <c r="P27" s="44" t="n">
        <f aca="false">IF(AND(E27&lt;&gt;"",E27&gt;Vencimentos!D19),F27*0.02,0)</f>
        <v>33.2893349141633</v>
      </c>
      <c r="Q27" s="44" t="n">
        <f aca="false">IF(AND(E27&lt;&gt;"",E27&gt;Vencimentos!D19),F27*0.00033*(E27-Vencimentos!D19),0)</f>
        <v>33.5057155911053</v>
      </c>
      <c r="R27" s="24"/>
      <c r="S27" s="23"/>
    </row>
    <row r="28" customFormat="false" ht="15" hidden="false" customHeight="true" outlineLevel="0" collapsed="false">
      <c r="B28" s="34" t="n">
        <v>18</v>
      </c>
      <c r="C28" s="35" t="n">
        <v>2022</v>
      </c>
      <c r="D28" s="34" t="s">
        <v>47</v>
      </c>
      <c r="E28" s="36" t="n">
        <v>44876</v>
      </c>
      <c r="F28" s="37" t="n">
        <f aca="false">Reajustes!H5</f>
        <v>1664.46674570816</v>
      </c>
      <c r="G28" s="29" t="n">
        <v>1392.72</v>
      </c>
      <c r="H28" s="38" t="n">
        <f aca="false">O27-IF(G28="",0,G28)</f>
        <v>170790.344870811</v>
      </c>
      <c r="I28" s="22" t="n">
        <f aca="false">'Índices IPCA'!C22</f>
        <v>6370.34</v>
      </c>
      <c r="J28" s="39" t="n">
        <f aca="false">'Índices IPCA'!D22</f>
        <v>-0.00290035640105367</v>
      </c>
      <c r="K28" s="24"/>
      <c r="L28" s="38" t="n">
        <f aca="false">H28</f>
        <v>170790.344870811</v>
      </c>
      <c r="M28" s="24"/>
      <c r="N28" s="38" t="n">
        <f aca="false">H28</f>
        <v>170790.344870811</v>
      </c>
      <c r="O28" s="38" t="n">
        <f aca="false">H28</f>
        <v>170790.344870811</v>
      </c>
      <c r="P28" s="38" t="n">
        <f aca="false">IF(AND(E28&lt;&gt;"",E28&gt;Vencimentos!D20),F28*0.02,0)</f>
        <v>33.2893349141633</v>
      </c>
      <c r="Q28" s="38" t="n">
        <f aca="false">IF(AND(E28&lt;&gt;"",E28&gt;Vencimentos!D20),F28*0.00033*(E28-Vencimentos!D20),0)</f>
        <v>32.9564415650216</v>
      </c>
      <c r="R28" s="24"/>
      <c r="S28" s="23"/>
    </row>
    <row r="29" customFormat="false" ht="15" hidden="false" customHeight="true" outlineLevel="0" collapsed="false">
      <c r="B29" s="40" t="n">
        <v>19</v>
      </c>
      <c r="C29" s="41" t="n">
        <v>2022</v>
      </c>
      <c r="D29" s="40" t="s">
        <v>48</v>
      </c>
      <c r="E29" s="42" t="n">
        <v>44908</v>
      </c>
      <c r="F29" s="43" t="n">
        <f aca="false">Reajustes!H5</f>
        <v>1664.46674570816</v>
      </c>
      <c r="G29" s="29" t="n">
        <v>1351.05</v>
      </c>
      <c r="H29" s="44" t="n">
        <f aca="false">O28-IF(G29="",0,G29)</f>
        <v>169439.294870811</v>
      </c>
      <c r="I29" s="45" t="n">
        <f aca="false">'Índices IPCA'!C23</f>
        <v>6407.93</v>
      </c>
      <c r="J29" s="46" t="n">
        <f aca="false">'Índices IPCA'!D23</f>
        <v>0.0059007839455979</v>
      </c>
      <c r="K29" s="47"/>
      <c r="L29" s="44" t="n">
        <f aca="false">H29</f>
        <v>169439.294870811</v>
      </c>
      <c r="M29" s="47"/>
      <c r="N29" s="44" t="n">
        <f aca="false">H29</f>
        <v>169439.294870811</v>
      </c>
      <c r="O29" s="44" t="n">
        <f aca="false">H29</f>
        <v>169439.294870811</v>
      </c>
      <c r="P29" s="44" t="n">
        <f aca="false">IF(AND(E29&lt;&gt;"",E29&gt;Vencimentos!D21),F29*0.02,0)</f>
        <v>33.2893349141633</v>
      </c>
      <c r="Q29" s="44" t="n">
        <f aca="false">IF(AND(E29&lt;&gt;"",E29&gt;Vencimentos!D21),F29*0.00033*(E29-Vencimentos!D21),0)</f>
        <v>35.1535376693564</v>
      </c>
      <c r="R29" s="24"/>
      <c r="S29" s="48" t="n">
        <v>5000</v>
      </c>
    </row>
    <row r="30" customFormat="false" ht="15" hidden="false" customHeight="true" outlineLevel="0" collapsed="false">
      <c r="B30" s="34" t="n">
        <v>20</v>
      </c>
      <c r="C30" s="35" t="n">
        <v>2022</v>
      </c>
      <c r="D30" s="34" t="s">
        <v>49</v>
      </c>
      <c r="E30" s="36" t="n">
        <v>44937</v>
      </c>
      <c r="F30" s="37" t="n">
        <f aca="false">Reajustes!H5</f>
        <v>1664.46674570816</v>
      </c>
      <c r="G30" s="29" t="n">
        <v>1392.72</v>
      </c>
      <c r="H30" s="38" t="n">
        <f aca="false">O29-IF(G30="",0,G30)</f>
        <v>168046.574870811</v>
      </c>
      <c r="I30" s="22" t="n">
        <f aca="false">'Índices IPCA'!C24</f>
        <v>6434.2</v>
      </c>
      <c r="J30" s="39" t="n">
        <f aca="false">'Índices IPCA'!D24</f>
        <v>0.00409960782967347</v>
      </c>
      <c r="K30" s="24"/>
      <c r="L30" s="38" t="n">
        <f aca="false">H30</f>
        <v>168046.574870811</v>
      </c>
      <c r="M30" s="24"/>
      <c r="N30" s="38" t="n">
        <f aca="false">H30</f>
        <v>168046.574870811</v>
      </c>
      <c r="O30" s="38" t="n">
        <f aca="false">H30</f>
        <v>168046.574870811</v>
      </c>
      <c r="P30" s="38" t="n">
        <f aca="false">IF(AND(E30&lt;&gt;"",E30&gt;Vencimentos!D22),F30*0.02,0)</f>
        <v>33.2893349141633</v>
      </c>
      <c r="Q30" s="38" t="n">
        <f aca="false">IF(AND(E30&lt;&gt;"",E30&gt;Vencimentos!D22),F30*0.00033*(E30-Vencimentos!D22),0)</f>
        <v>34.054989617189</v>
      </c>
      <c r="R30" s="24"/>
      <c r="S30" s="23"/>
    </row>
    <row r="31" customFormat="false" ht="15" hidden="false" customHeight="true" outlineLevel="0" collapsed="false">
      <c r="B31" s="40" t="n">
        <v>21</v>
      </c>
      <c r="C31" s="41" t="n">
        <v>2022</v>
      </c>
      <c r="D31" s="40" t="s">
        <v>50</v>
      </c>
      <c r="E31" s="42" t="n">
        <v>44968</v>
      </c>
      <c r="F31" s="43" t="n">
        <f aca="false">Reajustes!H5</f>
        <v>1664.46674570816</v>
      </c>
      <c r="G31" s="29" t="n">
        <v>1500</v>
      </c>
      <c r="H31" s="44" t="n">
        <f aca="false">O30-IF(G31="",0,G31)</f>
        <v>166546.574870811</v>
      </c>
      <c r="I31" s="45" t="n">
        <f aca="false">'Índices IPCA'!C25</f>
        <v>6474.09</v>
      </c>
      <c r="J31" s="46" t="n">
        <f aca="false">'Índices IPCA'!D25</f>
        <v>0.00619968294426663</v>
      </c>
      <c r="K31" s="47"/>
      <c r="L31" s="44" t="n">
        <f aca="false">H31</f>
        <v>166546.574870811</v>
      </c>
      <c r="M31" s="47"/>
      <c r="N31" s="44" t="n">
        <f aca="false">H31</f>
        <v>166546.574870811</v>
      </c>
      <c r="O31" s="44" t="n">
        <f aca="false">H31</f>
        <v>166546.574870811</v>
      </c>
      <c r="P31" s="44" t="n">
        <f aca="false">IF(AND(E31&lt;&gt;"",E31&gt;Vencimentos!D23),F31*0.02,0)</f>
        <v>33.2893349141633</v>
      </c>
      <c r="Q31" s="44" t="n">
        <f aca="false">IF(AND(E31&lt;&gt;"",E31&gt;Vencimentos!D23),F31*0.00033*(E31-Vencimentos!D23),0)</f>
        <v>33.5057155911053</v>
      </c>
      <c r="R31" s="24"/>
      <c r="S31" s="23"/>
    </row>
    <row r="32" customFormat="false" ht="15" hidden="false" customHeight="true" outlineLevel="0" collapsed="false">
      <c r="B32" s="34" t="n">
        <v>22</v>
      </c>
      <c r="C32" s="35" t="n">
        <v>2023</v>
      </c>
      <c r="D32" s="34" t="s">
        <v>51</v>
      </c>
      <c r="E32" s="36" t="n">
        <v>44998</v>
      </c>
      <c r="F32" s="37" t="n">
        <f aca="false">Reajustes!H5</f>
        <v>1664.46674570816</v>
      </c>
      <c r="G32" s="29" t="n">
        <v>2000</v>
      </c>
      <c r="H32" s="38" t="n">
        <f aca="false">O31-IF(G32="",0,G32)</f>
        <v>164546.574870811</v>
      </c>
      <c r="I32" s="22" t="n">
        <f aca="false">'Índices IPCA'!C26</f>
        <v>6508.4</v>
      </c>
      <c r="J32" s="39" t="n">
        <f aca="false">'Índices IPCA'!D26</f>
        <v>0.00529958650559376</v>
      </c>
      <c r="K32" s="24"/>
      <c r="L32" s="38" t="n">
        <f aca="false">H32</f>
        <v>164546.574870811</v>
      </c>
      <c r="M32" s="24"/>
      <c r="N32" s="38" t="n">
        <f aca="false">H32</f>
        <v>164546.574870811</v>
      </c>
      <c r="O32" s="38" t="n">
        <f aca="false">H32</f>
        <v>164546.574870811</v>
      </c>
      <c r="P32" s="38" t="n">
        <f aca="false">IF(AND(E32&lt;&gt;"",E32&gt;Vencimentos!D24),F32*0.02,0)</f>
        <v>33.2893349141633</v>
      </c>
      <c r="Q32" s="38" t="n">
        <f aca="false">IF(AND(E32&lt;&gt;"",E32&gt;Vencimentos!D24),F32*0.00033*(E32-Vencimentos!D24),0)</f>
        <v>34.054989617189</v>
      </c>
      <c r="R32" s="24"/>
      <c r="S32" s="23"/>
    </row>
    <row r="33" customFormat="false" ht="15" hidden="false" customHeight="true" outlineLevel="0" collapsed="false">
      <c r="B33" s="40" t="n">
        <v>23</v>
      </c>
      <c r="C33" s="41" t="n">
        <v>2023</v>
      </c>
      <c r="D33" s="40" t="s">
        <v>52</v>
      </c>
      <c r="E33" s="42" t="n">
        <v>45028</v>
      </c>
      <c r="F33" s="43" t="n">
        <f aca="false">Reajustes!H5</f>
        <v>1664.46674570816</v>
      </c>
      <c r="G33" s="29" t="n">
        <v>1500</v>
      </c>
      <c r="H33" s="44" t="n">
        <f aca="false">O32-IF(G33="",0,G33)</f>
        <v>163046.574870811</v>
      </c>
      <c r="I33" s="45" t="n">
        <f aca="false">'Índices IPCA'!C27</f>
        <v>6563.07</v>
      </c>
      <c r="J33" s="46" t="n">
        <f aca="false">'Índices IPCA'!D27</f>
        <v>0.00839991395734744</v>
      </c>
      <c r="K33" s="47"/>
      <c r="L33" s="44" t="n">
        <f aca="false">H33</f>
        <v>163046.574870811</v>
      </c>
      <c r="M33" s="47"/>
      <c r="N33" s="44" t="n">
        <f aca="false">H33</f>
        <v>163046.574870811</v>
      </c>
      <c r="O33" s="44" t="n">
        <f aca="false">H33</f>
        <v>163046.574870811</v>
      </c>
      <c r="P33" s="44" t="n">
        <f aca="false">IF(AND(E33&lt;&gt;"",E33&gt;Vencimentos!D25),F33*0.02,0)</f>
        <v>33.2893349141633</v>
      </c>
      <c r="Q33" s="44" t="n">
        <f aca="false">IF(AND(E33&lt;&gt;"",E33&gt;Vencimentos!D25),F33*0.00033*(E33-Vencimentos!D25),0)</f>
        <v>33.5057155911053</v>
      </c>
      <c r="R33" s="24"/>
      <c r="S33" s="23"/>
    </row>
    <row r="34" customFormat="false" ht="15" hidden="false" customHeight="true" outlineLevel="0" collapsed="false">
      <c r="B34" s="49" t="n">
        <v>24</v>
      </c>
      <c r="C34" s="50" t="n">
        <v>2023</v>
      </c>
      <c r="D34" s="49" t="s">
        <v>41</v>
      </c>
      <c r="E34" s="51" t="n">
        <v>45056</v>
      </c>
      <c r="F34" s="52" t="n">
        <f aca="false">Reajustes!H5</f>
        <v>1664.46674570816</v>
      </c>
      <c r="G34" s="29" t="n">
        <v>1500</v>
      </c>
      <c r="H34" s="53" t="n">
        <f aca="false">O33-IF(G34="",0,G34)</f>
        <v>161546.574870811</v>
      </c>
      <c r="I34" s="54" t="n">
        <f aca="false">'Índices IPCA'!C28</f>
        <v>6609.67</v>
      </c>
      <c r="J34" s="55" t="n">
        <f aca="false">'Índices IPCA'!D28</f>
        <v>0.00710033566608315</v>
      </c>
      <c r="K34" s="55" t="n">
        <f aca="false">Reajustes!F5</f>
        <v>0.0465077985348159</v>
      </c>
      <c r="L34" s="53" t="n">
        <f aca="false">IF(K34=0,H34,H34*(1+K34))</f>
        <v>169059.750428892</v>
      </c>
      <c r="M34" s="55" t="n">
        <f aca="false">Reajustes!E6</f>
        <v>0.106906226923436</v>
      </c>
      <c r="N34" s="53" t="n">
        <f aca="false">L34*(1+M34)</f>
        <v>187133.290471862</v>
      </c>
      <c r="O34" s="56" t="n">
        <f aca="false">N34</f>
        <v>187133.290471862</v>
      </c>
      <c r="P34" s="53" t="n">
        <f aca="false">IF(AND(E34&lt;&gt;"",E34&gt;Vencimentos!D26),F34*0.02,0)</f>
        <v>33.2893349141633</v>
      </c>
      <c r="Q34" s="53" t="n">
        <f aca="false">IF(AND(E34&lt;&gt;"",E34&gt;Vencimentos!D26),F34*0.00033*(E34-Vencimentos!D26),0)</f>
        <v>33.5057155911053</v>
      </c>
      <c r="R34" s="24"/>
      <c r="S34" s="23"/>
    </row>
    <row r="35" customFormat="false" ht="15" hidden="false" customHeight="true" outlineLevel="0" collapsed="false">
      <c r="B35" s="57" t="n">
        <v>25</v>
      </c>
      <c r="C35" s="58" t="n">
        <v>2023</v>
      </c>
      <c r="D35" s="57" t="s">
        <v>42</v>
      </c>
      <c r="E35" s="27" t="n">
        <v>45085</v>
      </c>
      <c r="F35" s="28" t="n">
        <f aca="false">Reajustes!H6</f>
        <v>1928.09497356692</v>
      </c>
      <c r="G35" s="29" t="n">
        <v>1500</v>
      </c>
      <c r="H35" s="30" t="n">
        <f aca="false">O34-IF(G35="",0,G35)</f>
        <v>185633.290471862</v>
      </c>
      <c r="I35" s="31" t="n">
        <f aca="false">'Índices IPCA'!C29</f>
        <v>6649.99</v>
      </c>
      <c r="J35" s="32" t="n">
        <f aca="false">'Índices IPCA'!D29</f>
        <v>0.00610015326029888</v>
      </c>
      <c r="K35" s="33"/>
      <c r="L35" s="30" t="n">
        <f aca="false">H35</f>
        <v>185633.290471862</v>
      </c>
      <c r="M35" s="33"/>
      <c r="N35" s="30" t="n">
        <f aca="false">H35</f>
        <v>185633.290471862</v>
      </c>
      <c r="O35" s="30" t="n">
        <f aca="false">H35</f>
        <v>185633.290471862</v>
      </c>
      <c r="P35" s="30" t="n">
        <f aca="false">IF(AND(E35&lt;&gt;"",E35&gt;Vencimentos!D27),F35*0.02,0)</f>
        <v>38.5618994713383</v>
      </c>
      <c r="Q35" s="30" t="n">
        <f aca="false">IF(AND(E35&lt;&gt;"",E35&gt;Vencimentos!D27),F35*0.00033*(E35-Vencimentos!D27),0)</f>
        <v>37.5400091353479</v>
      </c>
      <c r="R35" s="59" t="n">
        <f aca="false">Reajustes!I22</f>
        <v>46335.439948885</v>
      </c>
      <c r="S35" s="23"/>
    </row>
    <row r="36" customFormat="false" ht="15" hidden="false" customHeight="true" outlineLevel="0" collapsed="false">
      <c r="B36" s="34" t="n">
        <v>26</v>
      </c>
      <c r="C36" s="35" t="n">
        <v>2023</v>
      </c>
      <c r="D36" s="34" t="s">
        <v>43</v>
      </c>
      <c r="E36" s="36" t="n">
        <v>45118</v>
      </c>
      <c r="F36" s="37" t="n">
        <f aca="false">Reajustes!H6</f>
        <v>1928.09497356692</v>
      </c>
      <c r="G36" s="29" t="n">
        <v>1500</v>
      </c>
      <c r="H36" s="38" t="n">
        <f aca="false">O35-IF(G36="",0,G36)</f>
        <v>184133.290471862</v>
      </c>
      <c r="I36" s="22" t="n">
        <f aca="false">'Índices IPCA'!C30</f>
        <v>6665.28</v>
      </c>
      <c r="J36" s="39" t="n">
        <f aca="false">'Índices IPCA'!D30</f>
        <v>0.00229925157782192</v>
      </c>
      <c r="K36" s="24"/>
      <c r="L36" s="38" t="n">
        <f aca="false">H36</f>
        <v>184133.290471862</v>
      </c>
      <c r="M36" s="24"/>
      <c r="N36" s="38" t="n">
        <f aca="false">H36</f>
        <v>184133.290471862</v>
      </c>
      <c r="O36" s="38" t="n">
        <f aca="false">H36</f>
        <v>184133.290471862</v>
      </c>
      <c r="P36" s="38" t="n">
        <f aca="false">IF(AND(E36&lt;&gt;"",E36&gt;Vencimentos!D28),F36*0.02,0)</f>
        <v>38.5618994713383</v>
      </c>
      <c r="Q36" s="38" t="n">
        <f aca="false">IF(AND(E36&lt;&gt;"",E36&gt;Vencimentos!D28),F36*0.00033*(E36-Vencimentos!D28),0)</f>
        <v>39.4488231591791</v>
      </c>
      <c r="R36" s="24"/>
      <c r="S36" s="23"/>
    </row>
    <row r="37" customFormat="false" ht="15" hidden="false" customHeight="true" outlineLevel="0" collapsed="false">
      <c r="B37" s="40" t="n">
        <v>27</v>
      </c>
      <c r="C37" s="41" t="n">
        <v>2023</v>
      </c>
      <c r="D37" s="40" t="s">
        <v>44</v>
      </c>
      <c r="E37" s="42" t="n">
        <v>45148</v>
      </c>
      <c r="F37" s="43" t="n">
        <f aca="false">Reajustes!H6</f>
        <v>1928.09497356692</v>
      </c>
      <c r="G37" s="29" t="n">
        <v>1500</v>
      </c>
      <c r="H37" s="44" t="n">
        <f aca="false">O36-IF(G37="",0,G37)</f>
        <v>182633.290471862</v>
      </c>
      <c r="I37" s="45" t="n">
        <f aca="false">'Índices IPCA'!C31</f>
        <v>6659.95</v>
      </c>
      <c r="J37" s="46" t="n">
        <f aca="false">'Índices IPCA'!D31</f>
        <v>-0.000799666330596753</v>
      </c>
      <c r="K37" s="47"/>
      <c r="L37" s="44" t="n">
        <f aca="false">H37</f>
        <v>182633.290471862</v>
      </c>
      <c r="M37" s="47"/>
      <c r="N37" s="44" t="n">
        <f aca="false">H37</f>
        <v>182633.290471862</v>
      </c>
      <c r="O37" s="44" t="n">
        <f aca="false">H37</f>
        <v>182633.290471862</v>
      </c>
      <c r="P37" s="44" t="n">
        <f aca="false">IF(AND(E37&lt;&gt;"",E37&gt;Vencimentos!D29),F37*0.02,0)</f>
        <v>38.5618994713383</v>
      </c>
      <c r="Q37" s="44" t="n">
        <f aca="false">IF(AND(E37&lt;&gt;"",E37&gt;Vencimentos!D29),F37*0.00033*(E37-Vencimentos!D29),0)</f>
        <v>37.5400091353479</v>
      </c>
      <c r="R37" s="24"/>
      <c r="S37" s="23"/>
    </row>
    <row r="38" customFormat="false" ht="15" hidden="false" customHeight="true" outlineLevel="0" collapsed="false">
      <c r="B38" s="34" t="n">
        <v>28</v>
      </c>
      <c r="C38" s="35" t="n">
        <v>2023</v>
      </c>
      <c r="D38" s="34" t="s">
        <v>45</v>
      </c>
      <c r="E38" s="36" t="n">
        <v>45182</v>
      </c>
      <c r="F38" s="37" t="n">
        <f aca="false">Reajustes!H6</f>
        <v>1928.09497356692</v>
      </c>
      <c r="G38" s="29" t="n">
        <v>1500</v>
      </c>
      <c r="H38" s="38" t="n">
        <f aca="false">O37-IF(G38="",0,G38)</f>
        <v>181133.290471862</v>
      </c>
      <c r="I38" s="22" t="n">
        <f aca="false">'Índices IPCA'!C32</f>
        <v>6667.94</v>
      </c>
      <c r="J38" s="39" t="n">
        <f aca="false">'Índices IPCA'!D32</f>
        <v>0.00119970870652179</v>
      </c>
      <c r="K38" s="24"/>
      <c r="L38" s="38" t="n">
        <f aca="false">H38</f>
        <v>181133.290471862</v>
      </c>
      <c r="M38" s="24"/>
      <c r="N38" s="38" t="n">
        <f aca="false">H38</f>
        <v>181133.290471862</v>
      </c>
      <c r="O38" s="38" t="n">
        <f aca="false">H38</f>
        <v>181133.290471862</v>
      </c>
      <c r="P38" s="38" t="n">
        <f aca="false">IF(AND(E38&lt;&gt;"",E38&gt;Vencimentos!D30),F38*0.02,0)</f>
        <v>38.5618994713383</v>
      </c>
      <c r="Q38" s="38" t="n">
        <f aca="false">IF(AND(E38&lt;&gt;"",E38&gt;Vencimentos!D30),F38*0.00033*(E38-Vencimentos!D30),0)</f>
        <v>41.3576371830103</v>
      </c>
      <c r="R38" s="24"/>
      <c r="S38" s="23"/>
    </row>
    <row r="39" customFormat="false" ht="15" hidden="false" customHeight="true" outlineLevel="0" collapsed="false">
      <c r="B39" s="40" t="n">
        <v>29</v>
      </c>
      <c r="C39" s="41" t="n">
        <v>2023</v>
      </c>
      <c r="D39" s="40" t="s">
        <v>46</v>
      </c>
      <c r="E39" s="42"/>
      <c r="F39" s="43" t="n">
        <f aca="false">Reajustes!H6</f>
        <v>1928.09497356692</v>
      </c>
      <c r="G39" s="29"/>
      <c r="H39" s="44" t="n">
        <f aca="false">O38-IF(G39="",0,G39)</f>
        <v>181133.290471862</v>
      </c>
      <c r="I39" s="45" t="n">
        <f aca="false">'Índices IPCA'!C33</f>
        <v>6683.28</v>
      </c>
      <c r="J39" s="46" t="n">
        <f aca="false">'Índices IPCA'!D33</f>
        <v>0.00230056059292677</v>
      </c>
      <c r="K39" s="47"/>
      <c r="L39" s="44" t="n">
        <f aca="false">H39</f>
        <v>181133.290471862</v>
      </c>
      <c r="M39" s="47"/>
      <c r="N39" s="44" t="n">
        <f aca="false">H39</f>
        <v>181133.290471862</v>
      </c>
      <c r="O39" s="44" t="n">
        <f aca="false">H39</f>
        <v>181133.290471862</v>
      </c>
      <c r="P39" s="44" t="n">
        <f aca="false">IF(AND(E39&lt;&gt;"",E39&gt;Vencimentos!D31),F39*0.02,0)</f>
        <v>0</v>
      </c>
      <c r="Q39" s="44" t="n">
        <f aca="false">IF(AND(E39&lt;&gt;"",E39&gt;Vencimentos!D31),F39*0.00033*(E39-Vencimentos!D31),0)</f>
        <v>0</v>
      </c>
      <c r="R39" s="24"/>
      <c r="S39" s="23"/>
    </row>
    <row r="40" customFormat="false" ht="15" hidden="false" customHeight="true" outlineLevel="0" collapsed="false">
      <c r="B40" s="34" t="n">
        <v>30</v>
      </c>
      <c r="C40" s="35" t="n">
        <v>2023</v>
      </c>
      <c r="D40" s="34" t="s">
        <v>47</v>
      </c>
      <c r="E40" s="36"/>
      <c r="F40" s="37" t="n">
        <f aca="false">Reajustes!H6</f>
        <v>1928.09497356692</v>
      </c>
      <c r="G40" s="29"/>
      <c r="H40" s="38" t="n">
        <f aca="false">O39-IF(G40="",0,G40)</f>
        <v>181133.290471862</v>
      </c>
      <c r="I40" s="22" t="n">
        <f aca="false">'Índices IPCA'!C34</f>
        <v>6700.66</v>
      </c>
      <c r="J40" s="39" t="n">
        <f aca="false">'Índices IPCA'!D34</f>
        <v>0.00260051950539258</v>
      </c>
      <c r="K40" s="24"/>
      <c r="L40" s="38" t="n">
        <f aca="false">H40</f>
        <v>181133.290471862</v>
      </c>
      <c r="M40" s="24"/>
      <c r="N40" s="38" t="n">
        <f aca="false">H40</f>
        <v>181133.290471862</v>
      </c>
      <c r="O40" s="38" t="n">
        <f aca="false">H40</f>
        <v>181133.290471862</v>
      </c>
      <c r="P40" s="38" t="n">
        <f aca="false">IF(AND(E40&lt;&gt;"",E40&gt;Vencimentos!D32),F40*0.02,0)</f>
        <v>0</v>
      </c>
      <c r="Q40" s="38" t="n">
        <f aca="false">IF(AND(E40&lt;&gt;"",E40&gt;Vencimentos!D32),F40*0.00033*(E40-Vencimentos!D32),0)</f>
        <v>0</v>
      </c>
      <c r="R40" s="24"/>
      <c r="S40" s="23"/>
    </row>
    <row r="41" customFormat="false" ht="15" hidden="false" customHeight="true" outlineLevel="0" collapsed="false">
      <c r="B41" s="40" t="n">
        <v>31</v>
      </c>
      <c r="C41" s="41" t="n">
        <v>2023</v>
      </c>
      <c r="D41" s="40" t="s">
        <v>48</v>
      </c>
      <c r="E41" s="42"/>
      <c r="F41" s="43" t="n">
        <f aca="false">Reajustes!H6</f>
        <v>1928.09497356692</v>
      </c>
      <c r="G41" s="29"/>
      <c r="H41" s="44" t="n">
        <f aca="false">O40-IF(G41="",0,G41)</f>
        <v>181133.290471862</v>
      </c>
      <c r="I41" s="45" t="n">
        <f aca="false">'Índices IPCA'!C35</f>
        <v>6716.74</v>
      </c>
      <c r="J41" s="46" t="n">
        <f aca="false">'Índices IPCA'!D35</f>
        <v>0.00239976360537618</v>
      </c>
      <c r="K41" s="47"/>
      <c r="L41" s="44" t="n">
        <f aca="false">H41</f>
        <v>181133.290471862</v>
      </c>
      <c r="M41" s="47"/>
      <c r="N41" s="44" t="n">
        <f aca="false">H41</f>
        <v>181133.290471862</v>
      </c>
      <c r="O41" s="44" t="n">
        <f aca="false">H41</f>
        <v>181133.290471862</v>
      </c>
      <c r="P41" s="44" t="n">
        <f aca="false">IF(AND(E41&lt;&gt;"",E41&gt;Vencimentos!D33),F41*0.02,0)</f>
        <v>0</v>
      </c>
      <c r="Q41" s="44" t="n">
        <f aca="false">IF(AND(E41&lt;&gt;"",E41&gt;Vencimentos!D33),F41*0.00033*(E41-Vencimentos!D33),0)</f>
        <v>0</v>
      </c>
      <c r="R41" s="24"/>
      <c r="S41" s="23"/>
    </row>
    <row r="42" customFormat="false" ht="15" hidden="false" customHeight="true" outlineLevel="0" collapsed="false">
      <c r="B42" s="34" t="n">
        <v>32</v>
      </c>
      <c r="C42" s="35" t="n">
        <v>2023</v>
      </c>
      <c r="D42" s="34" t="s">
        <v>49</v>
      </c>
      <c r="E42" s="36"/>
      <c r="F42" s="37" t="n">
        <f aca="false">Reajustes!H6</f>
        <v>1928.09497356692</v>
      </c>
      <c r="G42" s="29"/>
      <c r="H42" s="38" t="n">
        <f aca="false">O41-IF(G42="",0,G42)</f>
        <v>181133.290471862</v>
      </c>
      <c r="I42" s="22" t="n">
        <f aca="false">'Índices IPCA'!C36</f>
        <v>6735.55</v>
      </c>
      <c r="J42" s="39" t="n">
        <f aca="false">'Índices IPCA'!D36</f>
        <v>0.0028004657021115</v>
      </c>
      <c r="K42" s="24"/>
      <c r="L42" s="38" t="n">
        <f aca="false">H42</f>
        <v>181133.290471862</v>
      </c>
      <c r="M42" s="24"/>
      <c r="N42" s="38" t="n">
        <f aca="false">H42</f>
        <v>181133.290471862</v>
      </c>
      <c r="O42" s="38" t="n">
        <f aca="false">H42</f>
        <v>181133.290471862</v>
      </c>
      <c r="P42" s="38" t="n">
        <f aca="false">IF(AND(E42&lt;&gt;"",E42&gt;Vencimentos!D34),F42*0.02,0)</f>
        <v>0</v>
      </c>
      <c r="Q42" s="38" t="n">
        <f aca="false">IF(AND(E42&lt;&gt;"",E42&gt;Vencimentos!D34),F42*0.00033*(E42-Vencimentos!D34),0)</f>
        <v>0</v>
      </c>
      <c r="R42" s="24"/>
      <c r="S42" s="23"/>
    </row>
    <row r="43" customFormat="false" ht="15" hidden="false" customHeight="true" outlineLevel="0" collapsed="false">
      <c r="B43" s="40" t="n">
        <v>33</v>
      </c>
      <c r="C43" s="41" t="n">
        <v>2023</v>
      </c>
      <c r="D43" s="40" t="s">
        <v>50</v>
      </c>
      <c r="E43" s="42"/>
      <c r="F43" s="43" t="n">
        <f aca="false">Reajustes!H6</f>
        <v>1928.09497356692</v>
      </c>
      <c r="G43" s="29"/>
      <c r="H43" s="44" t="n">
        <f aca="false">O42-IF(G43="",0,G43)</f>
        <v>181133.290471862</v>
      </c>
      <c r="I43" s="45" t="n">
        <f aca="false">'Índices IPCA'!C37</f>
        <v>6773.27</v>
      </c>
      <c r="J43" s="46" t="n">
        <f aca="false">'Índices IPCA'!D37</f>
        <v>0.00560013658869732</v>
      </c>
      <c r="K43" s="47"/>
      <c r="L43" s="44" t="n">
        <f aca="false">H43</f>
        <v>181133.290471862</v>
      </c>
      <c r="M43" s="47"/>
      <c r="N43" s="44" t="n">
        <f aca="false">H43</f>
        <v>181133.290471862</v>
      </c>
      <c r="O43" s="44" t="n">
        <f aca="false">H43</f>
        <v>181133.290471862</v>
      </c>
      <c r="P43" s="44" t="n">
        <f aca="false">IF(AND(E43&lt;&gt;"",E43&gt;Vencimentos!D35),F43*0.02,0)</f>
        <v>0</v>
      </c>
      <c r="Q43" s="44" t="n">
        <f aca="false">IF(AND(E43&lt;&gt;"",E43&gt;Vencimentos!D35),F43*0.00033*(E43-Vencimentos!D35),0)</f>
        <v>0</v>
      </c>
      <c r="R43" s="24"/>
      <c r="S43" s="23"/>
    </row>
    <row r="44" customFormat="false" ht="15" hidden="false" customHeight="true" outlineLevel="0" collapsed="false">
      <c r="B44" s="34" t="n">
        <v>34</v>
      </c>
      <c r="C44" s="35" t="n">
        <v>2024</v>
      </c>
      <c r="D44" s="34" t="s">
        <v>51</v>
      </c>
      <c r="E44" s="36"/>
      <c r="F44" s="37" t="n">
        <f aca="false">Reajustes!H6</f>
        <v>1928.09497356692</v>
      </c>
      <c r="G44" s="29"/>
      <c r="H44" s="38" t="n">
        <f aca="false">O43-IF(G44="",0,G44)</f>
        <v>181133.290471862</v>
      </c>
      <c r="I44" s="22" t="n">
        <f aca="false">'Índices IPCA'!C38</f>
        <v>6801.72</v>
      </c>
      <c r="J44" s="39" t="n">
        <f aca="false">'Índices IPCA'!D38</f>
        <v>0.00420033455037225</v>
      </c>
      <c r="K44" s="24"/>
      <c r="L44" s="38" t="n">
        <f aca="false">H44</f>
        <v>181133.290471862</v>
      </c>
      <c r="M44" s="24"/>
      <c r="N44" s="38" t="n">
        <f aca="false">H44</f>
        <v>181133.290471862</v>
      </c>
      <c r="O44" s="38" t="n">
        <f aca="false">H44</f>
        <v>181133.290471862</v>
      </c>
      <c r="P44" s="38" t="n">
        <f aca="false">IF(AND(E44&lt;&gt;"",E44&gt;Vencimentos!D36),F44*0.02,0)</f>
        <v>0</v>
      </c>
      <c r="Q44" s="38" t="n">
        <f aca="false">IF(AND(E44&lt;&gt;"",E44&gt;Vencimentos!D36),F44*0.00033*(E44-Vencimentos!D36),0)</f>
        <v>0</v>
      </c>
      <c r="R44" s="24"/>
      <c r="S44" s="23"/>
    </row>
    <row r="45" customFormat="false" ht="15" hidden="false" customHeight="true" outlineLevel="0" collapsed="false">
      <c r="B45" s="40" t="n">
        <v>35</v>
      </c>
      <c r="C45" s="41" t="n">
        <v>2024</v>
      </c>
      <c r="D45" s="40" t="s">
        <v>52</v>
      </c>
      <c r="E45" s="42"/>
      <c r="F45" s="43" t="n">
        <f aca="false">Reajustes!H6</f>
        <v>1928.09497356692</v>
      </c>
      <c r="G45" s="29"/>
      <c r="H45" s="44" t="n">
        <f aca="false">O44-IF(G45="",0,G45)</f>
        <v>181133.290471862</v>
      </c>
      <c r="I45" s="45" t="n">
        <f aca="false">'Índices IPCA'!C39</f>
        <v>6858.17</v>
      </c>
      <c r="J45" s="46" t="n">
        <f aca="false">'Índices IPCA'!D39</f>
        <v>0.0082993713354857</v>
      </c>
      <c r="K45" s="47"/>
      <c r="L45" s="44" t="n">
        <f aca="false">H45</f>
        <v>181133.290471862</v>
      </c>
      <c r="M45" s="47"/>
      <c r="N45" s="44" t="n">
        <f aca="false">H45</f>
        <v>181133.290471862</v>
      </c>
      <c r="O45" s="44" t="n">
        <f aca="false">H45</f>
        <v>181133.290471862</v>
      </c>
      <c r="P45" s="44" t="n">
        <f aca="false">IF(AND(E45&lt;&gt;"",E45&gt;Vencimentos!D37),F45*0.02,0)</f>
        <v>0</v>
      </c>
      <c r="Q45" s="44" t="n">
        <f aca="false">IF(AND(E45&lt;&gt;"",E45&gt;Vencimentos!D37),F45*0.00033*(E45-Vencimentos!D37),0)</f>
        <v>0</v>
      </c>
      <c r="R45" s="24"/>
      <c r="S45" s="23"/>
    </row>
    <row r="46" customFormat="false" ht="15" hidden="false" customHeight="true" outlineLevel="0" collapsed="false">
      <c r="B46" s="49" t="n">
        <v>36</v>
      </c>
      <c r="C46" s="50" t="n">
        <v>2024</v>
      </c>
      <c r="D46" s="49" t="s">
        <v>41</v>
      </c>
      <c r="E46" s="51"/>
      <c r="F46" s="52" t="n">
        <f aca="false">Reajustes!H6</f>
        <v>1928.09497356692</v>
      </c>
      <c r="G46" s="29"/>
      <c r="H46" s="53" t="n">
        <f aca="false">O45-IF(G46="",0,G46)</f>
        <v>181133.290471862</v>
      </c>
      <c r="I46" s="54" t="n">
        <f aca="false">'Índices IPCA'!C40</f>
        <v>6869.14</v>
      </c>
      <c r="J46" s="55" t="n">
        <f aca="false">'Índices IPCA'!D40</f>
        <v>0.00159955206709665</v>
      </c>
      <c r="K46" s="55" t="n">
        <f aca="false">Reajustes!F6</f>
        <v>0.0392561201996469</v>
      </c>
      <c r="L46" s="53" t="n">
        <f aca="false">IF(K46=0,H46,H46*(1+K46))</f>
        <v>188243.880694783</v>
      </c>
      <c r="M46" s="55" t="n">
        <f aca="false">Reajustes!E7</f>
        <v>0.106906226923436</v>
      </c>
      <c r="N46" s="53" t="n">
        <f aca="false">L46*(1+M46)</f>
        <v>208368.323721288</v>
      </c>
      <c r="O46" s="56" t="n">
        <f aca="false">N46</f>
        <v>208368.323721288</v>
      </c>
      <c r="P46" s="53" t="n">
        <f aca="false">IF(AND(E46&lt;&gt;"",E46&gt;Vencimentos!D38),F46*0.02,0)</f>
        <v>0</v>
      </c>
      <c r="Q46" s="53" t="n">
        <f aca="false">IF(AND(E46&lt;&gt;"",E46&gt;Vencimentos!D38),F46*0.00033*(E46-Vencimentos!D38),0)</f>
        <v>0</v>
      </c>
      <c r="R46" s="24"/>
      <c r="S46" s="23"/>
    </row>
    <row r="47" customFormat="false" ht="15" hidden="false" customHeight="true" outlineLevel="0" collapsed="false">
      <c r="B47" s="57" t="n">
        <v>37</v>
      </c>
      <c r="C47" s="58" t="n">
        <v>2024</v>
      </c>
      <c r="D47" s="57" t="s">
        <v>42</v>
      </c>
      <c r="E47" s="27"/>
      <c r="F47" s="28" t="n">
        <f aca="false">Reajustes!H7</f>
        <v>2218.00154223991</v>
      </c>
      <c r="G47" s="29"/>
      <c r="H47" s="30" t="n">
        <f aca="false">O46-IF(G47="",0,G47)</f>
        <v>208368.323721288</v>
      </c>
      <c r="I47" s="31" t="n">
        <f aca="false">'Índices IPCA'!C41</f>
        <v>6895.24</v>
      </c>
      <c r="J47" s="32" t="n">
        <f aca="false">'Índices IPCA'!D41</f>
        <v>0.00379960227917897</v>
      </c>
      <c r="K47" s="33"/>
      <c r="L47" s="30" t="n">
        <f aca="false">H47</f>
        <v>208368.323721288</v>
      </c>
      <c r="M47" s="33"/>
      <c r="N47" s="30" t="n">
        <f aca="false">H47</f>
        <v>208368.323721288</v>
      </c>
      <c r="O47" s="30" t="n">
        <f aca="false">H47</f>
        <v>208368.323721288</v>
      </c>
      <c r="P47" s="30" t="n">
        <f aca="false">IF(AND(E47&lt;&gt;"",E47&gt;Vencimentos!D39),F47*0.02,0)</f>
        <v>0</v>
      </c>
      <c r="Q47" s="30" t="n">
        <f aca="false">IF(AND(E47&lt;&gt;"",E47&gt;Vencimentos!D39),F47*0.00033*(E47-Vencimentos!D39),0)</f>
        <v>0</v>
      </c>
      <c r="R47" s="59" t="n">
        <f aca="false">Reajustes!I23</f>
        <v>53302.3936455092</v>
      </c>
      <c r="S47" s="23"/>
    </row>
    <row r="48" customFormat="false" ht="15" hidden="false" customHeight="true" outlineLevel="0" collapsed="false">
      <c r="B48" s="34" t="n">
        <v>38</v>
      </c>
      <c r="C48" s="35" t="n">
        <v>2024</v>
      </c>
      <c r="D48" s="34" t="s">
        <v>43</v>
      </c>
      <c r="E48" s="36"/>
      <c r="F48" s="37" t="n">
        <f aca="false">Reajustes!H7</f>
        <v>2218.00154223991</v>
      </c>
      <c r="G48" s="29"/>
      <c r="H48" s="38" t="n">
        <f aca="false">O47-IF(G48="",0,G48)</f>
        <v>208368.323721288</v>
      </c>
      <c r="I48" s="22" t="n">
        <f aca="false">'Índices IPCA'!C42</f>
        <v>6926.96</v>
      </c>
      <c r="J48" s="39" t="n">
        <f aca="false">'Índices IPCA'!D42</f>
        <v>0.00460027497229977</v>
      </c>
      <c r="K48" s="24"/>
      <c r="L48" s="38" t="n">
        <f aca="false">H48</f>
        <v>208368.323721288</v>
      </c>
      <c r="M48" s="24"/>
      <c r="N48" s="38" t="n">
        <f aca="false">H48</f>
        <v>208368.323721288</v>
      </c>
      <c r="O48" s="38" t="n">
        <f aca="false">H48</f>
        <v>208368.323721288</v>
      </c>
      <c r="P48" s="38" t="n">
        <f aca="false">IF(AND(E48&lt;&gt;"",E48&gt;Vencimentos!D40),F48*0.02,0)</f>
        <v>0</v>
      </c>
      <c r="Q48" s="38" t="n">
        <f aca="false">IF(AND(E48&lt;&gt;"",E48&gt;Vencimentos!D40),F48*0.00033*(E48-Vencimentos!D40),0)</f>
        <v>0</v>
      </c>
      <c r="R48" s="24"/>
      <c r="S48" s="23"/>
    </row>
    <row r="49" customFormat="false" ht="15" hidden="false" customHeight="true" outlineLevel="0" collapsed="false">
      <c r="B49" s="40" t="n">
        <v>39</v>
      </c>
      <c r="C49" s="41" t="n">
        <v>2024</v>
      </c>
      <c r="D49" s="40" t="s">
        <v>44</v>
      </c>
      <c r="E49" s="42"/>
      <c r="F49" s="43" t="n">
        <f aca="false">Reajustes!H7</f>
        <v>2218.00154223991</v>
      </c>
      <c r="G49" s="29"/>
      <c r="H49" s="44" t="n">
        <f aca="false">O48-IF(G49="",0,G49)</f>
        <v>208368.323721288</v>
      </c>
      <c r="I49" s="45" t="n">
        <f aca="false">'Índices IPCA'!C43</f>
        <v>6941.51</v>
      </c>
      <c r="J49" s="46" t="n">
        <f aca="false">'Índices IPCA'!D43</f>
        <v>0.00210048852599123</v>
      </c>
      <c r="K49" s="47"/>
      <c r="L49" s="44" t="n">
        <f aca="false">H49</f>
        <v>208368.323721288</v>
      </c>
      <c r="M49" s="47"/>
      <c r="N49" s="44" t="n">
        <f aca="false">H49</f>
        <v>208368.323721288</v>
      </c>
      <c r="O49" s="44" t="n">
        <f aca="false">H49</f>
        <v>208368.323721288</v>
      </c>
      <c r="P49" s="44" t="n">
        <f aca="false">IF(AND(E49&lt;&gt;"",E49&gt;Vencimentos!D41),F49*0.02,0)</f>
        <v>0</v>
      </c>
      <c r="Q49" s="44" t="n">
        <f aca="false">IF(AND(E49&lt;&gt;"",E49&gt;Vencimentos!D41),F49*0.00033*(E49-Vencimentos!D41),0)</f>
        <v>0</v>
      </c>
      <c r="R49" s="24"/>
      <c r="S49" s="23"/>
    </row>
    <row r="50" customFormat="false" ht="15" hidden="false" customHeight="true" outlineLevel="0" collapsed="false">
      <c r="B50" s="34" t="n">
        <v>40</v>
      </c>
      <c r="C50" s="35" t="n">
        <v>2024</v>
      </c>
      <c r="D50" s="34" t="s">
        <v>45</v>
      </c>
      <c r="E50" s="36"/>
      <c r="F50" s="37" t="n">
        <f aca="false">Reajustes!H7</f>
        <v>2218.00154223991</v>
      </c>
      <c r="G50" s="29"/>
      <c r="H50" s="38" t="n">
        <f aca="false">O49-IF(G50="",0,G50)</f>
        <v>208368.323721288</v>
      </c>
      <c r="I50" s="22" t="n">
        <f aca="false">'Índices IPCA'!C44</f>
        <v>6967.89</v>
      </c>
      <c r="J50" s="39" t="n">
        <f aca="false">'Índices IPCA'!D44</f>
        <v>0.00380032586569783</v>
      </c>
      <c r="K50" s="24"/>
      <c r="L50" s="38" t="n">
        <f aca="false">H50</f>
        <v>208368.323721288</v>
      </c>
      <c r="M50" s="24"/>
      <c r="N50" s="38" t="n">
        <f aca="false">H50</f>
        <v>208368.323721288</v>
      </c>
      <c r="O50" s="38" t="n">
        <f aca="false">H50</f>
        <v>208368.323721288</v>
      </c>
      <c r="P50" s="38" t="n">
        <f aca="false">IF(AND(E50&lt;&gt;"",E50&gt;Vencimentos!D42),F50*0.02,0)</f>
        <v>0</v>
      </c>
      <c r="Q50" s="38" t="n">
        <f aca="false">IF(AND(E50&lt;&gt;"",E50&gt;Vencimentos!D42),F50*0.00033*(E50-Vencimentos!D42),0)</f>
        <v>0</v>
      </c>
      <c r="R50" s="24"/>
      <c r="S50" s="23"/>
    </row>
    <row r="51" customFormat="false" ht="15" hidden="false" customHeight="true" outlineLevel="0" collapsed="false">
      <c r="B51" s="40" t="n">
        <v>41</v>
      </c>
      <c r="C51" s="41" t="n">
        <v>2024</v>
      </c>
      <c r="D51" s="40" t="s">
        <v>46</v>
      </c>
      <c r="E51" s="42"/>
      <c r="F51" s="43" t="n">
        <f aca="false">Reajustes!H7</f>
        <v>2218.00154223991</v>
      </c>
      <c r="G51" s="29"/>
      <c r="H51" s="44" t="n">
        <f aca="false">O50-IF(G51="",0,G51)</f>
        <v>208368.323721288</v>
      </c>
      <c r="I51" s="45" t="n">
        <f aca="false">'Índices IPCA'!C45</f>
        <v>6966.5</v>
      </c>
      <c r="J51" s="46" t="n">
        <f aca="false">'Índices IPCA'!D45</f>
        <v>-0.000199486501652628</v>
      </c>
      <c r="K51" s="47"/>
      <c r="L51" s="44" t="n">
        <f aca="false">H51</f>
        <v>208368.323721288</v>
      </c>
      <c r="M51" s="47"/>
      <c r="N51" s="44" t="n">
        <f aca="false">H51</f>
        <v>208368.323721288</v>
      </c>
      <c r="O51" s="44" t="n">
        <f aca="false">H51</f>
        <v>208368.323721288</v>
      </c>
      <c r="P51" s="44" t="n">
        <f aca="false">IF(AND(E51&lt;&gt;"",E51&gt;Vencimentos!D43),F51*0.02,0)</f>
        <v>0</v>
      </c>
      <c r="Q51" s="44" t="n">
        <f aca="false">IF(AND(E51&lt;&gt;"",E51&gt;Vencimentos!D43),F51*0.00033*(E51-Vencimentos!D43),0)</f>
        <v>0</v>
      </c>
      <c r="R51" s="24"/>
      <c r="S51" s="23"/>
    </row>
    <row r="52" customFormat="false" ht="15" hidden="false" customHeight="true" outlineLevel="0" collapsed="false">
      <c r="B52" s="34" t="n">
        <v>42</v>
      </c>
      <c r="C52" s="35" t="n">
        <v>2024</v>
      </c>
      <c r="D52" s="34" t="s">
        <v>47</v>
      </c>
      <c r="E52" s="36"/>
      <c r="F52" s="37" t="n">
        <f aca="false">Reajustes!H7</f>
        <v>2218.00154223991</v>
      </c>
      <c r="G52" s="29"/>
      <c r="H52" s="38" t="n">
        <f aca="false">O51-IF(G52="",0,G52)</f>
        <v>208368.323721288</v>
      </c>
      <c r="I52" s="22" t="n">
        <f aca="false">'Índices IPCA'!C46</f>
        <v>6997.15</v>
      </c>
      <c r="J52" s="39" t="n">
        <f aca="false">'Índices IPCA'!D46</f>
        <v>0.00439962678532974</v>
      </c>
      <c r="K52" s="24"/>
      <c r="L52" s="38" t="n">
        <f aca="false">H52</f>
        <v>208368.323721288</v>
      </c>
      <c r="M52" s="24"/>
      <c r="N52" s="38" t="n">
        <f aca="false">H52</f>
        <v>208368.323721288</v>
      </c>
      <c r="O52" s="38" t="n">
        <f aca="false">H52</f>
        <v>208368.323721288</v>
      </c>
      <c r="P52" s="38" t="n">
        <f aca="false">IF(AND(E52&lt;&gt;"",E52&gt;Vencimentos!D44),F52*0.02,0)</f>
        <v>0</v>
      </c>
      <c r="Q52" s="38" t="n">
        <f aca="false">IF(AND(E52&lt;&gt;"",E52&gt;Vencimentos!D44),F52*0.00033*(E52-Vencimentos!D44),0)</f>
        <v>0</v>
      </c>
      <c r="R52" s="24"/>
      <c r="S52" s="23"/>
    </row>
    <row r="53" customFormat="false" ht="15" hidden="false" customHeight="true" outlineLevel="0" collapsed="false">
      <c r="B53" s="40" t="n">
        <v>43</v>
      </c>
      <c r="C53" s="41" t="n">
        <v>2024</v>
      </c>
      <c r="D53" s="40" t="s">
        <v>48</v>
      </c>
      <c r="E53" s="42"/>
      <c r="F53" s="43" t="n">
        <f aca="false">Reajustes!H7</f>
        <v>2218.00154223991</v>
      </c>
      <c r="G53" s="29"/>
      <c r="H53" s="44" t="n">
        <f aca="false">O52-IF(G53="",0,G53)</f>
        <v>208368.323721288</v>
      </c>
      <c r="I53" s="45" t="n">
        <f aca="false">'Índices IPCA'!C47</f>
        <v>7036.33</v>
      </c>
      <c r="J53" s="46" t="n">
        <f aca="false">'Índices IPCA'!D47</f>
        <v>0.0055994226220676</v>
      </c>
      <c r="K53" s="47"/>
      <c r="L53" s="44" t="n">
        <f aca="false">H53</f>
        <v>208368.323721288</v>
      </c>
      <c r="M53" s="47"/>
      <c r="N53" s="44" t="n">
        <f aca="false">H53</f>
        <v>208368.323721288</v>
      </c>
      <c r="O53" s="44" t="n">
        <f aca="false">H53</f>
        <v>208368.323721288</v>
      </c>
      <c r="P53" s="44" t="n">
        <f aca="false">IF(AND(E53&lt;&gt;"",E53&gt;Vencimentos!D45),F53*0.02,0)</f>
        <v>0</v>
      </c>
      <c r="Q53" s="44" t="n">
        <f aca="false">IF(AND(E53&lt;&gt;"",E53&gt;Vencimentos!D45),F53*0.00033*(E53-Vencimentos!D45),0)</f>
        <v>0</v>
      </c>
      <c r="R53" s="24"/>
      <c r="S53" s="23"/>
    </row>
    <row r="54" customFormat="false" ht="15" hidden="false" customHeight="true" outlineLevel="0" collapsed="false">
      <c r="B54" s="34" t="n">
        <v>44</v>
      </c>
      <c r="C54" s="35" t="n">
        <v>2024</v>
      </c>
      <c r="D54" s="34" t="s">
        <v>49</v>
      </c>
      <c r="E54" s="36"/>
      <c r="F54" s="37" t="n">
        <f aca="false">Reajustes!H7</f>
        <v>2218.00154223991</v>
      </c>
      <c r="G54" s="29"/>
      <c r="H54" s="38" t="n">
        <f aca="false">O53-IF(G54="",0,G54)</f>
        <v>208368.323721288</v>
      </c>
      <c r="I54" s="22" t="n">
        <f aca="false">'Índices IPCA'!C48</f>
        <v>7063.77</v>
      </c>
      <c r="J54" s="39" t="n">
        <f aca="false">'Índices IPCA'!D48</f>
        <v>0.00389976024433199</v>
      </c>
      <c r="K54" s="24"/>
      <c r="L54" s="38" t="n">
        <f aca="false">H54</f>
        <v>208368.323721288</v>
      </c>
      <c r="M54" s="24"/>
      <c r="N54" s="38" t="n">
        <f aca="false">H54</f>
        <v>208368.323721288</v>
      </c>
      <c r="O54" s="38" t="n">
        <f aca="false">H54</f>
        <v>208368.323721288</v>
      </c>
      <c r="P54" s="38" t="n">
        <f aca="false">IF(AND(E54&lt;&gt;"",E54&gt;Vencimentos!D46),F54*0.02,0)</f>
        <v>0</v>
      </c>
      <c r="Q54" s="38" t="n">
        <f aca="false">IF(AND(E54&lt;&gt;"",E54&gt;Vencimentos!D46),F54*0.00033*(E54-Vencimentos!D46),0)</f>
        <v>0</v>
      </c>
      <c r="R54" s="24"/>
      <c r="S54" s="23"/>
    </row>
    <row r="55" customFormat="false" ht="15" hidden="false" customHeight="true" outlineLevel="0" collapsed="false">
      <c r="B55" s="40" t="n">
        <v>45</v>
      </c>
      <c r="C55" s="41" t="n">
        <v>2024</v>
      </c>
      <c r="D55" s="40" t="s">
        <v>50</v>
      </c>
      <c r="E55" s="42"/>
      <c r="F55" s="43" t="n">
        <f aca="false">Reajustes!H7</f>
        <v>2218.00154223991</v>
      </c>
      <c r="G55" s="29"/>
      <c r="H55" s="44" t="n">
        <f aca="false">O54-IF(G55="",0,G55)</f>
        <v>208368.323721288</v>
      </c>
      <c r="I55" s="45" t="n">
        <f aca="false">'Índices IPCA'!C49</f>
        <v>7100.5</v>
      </c>
      <c r="J55" s="46" t="n">
        <f aca="false">'Índices IPCA'!D49</f>
        <v>0.00519977292578886</v>
      </c>
      <c r="K55" s="47"/>
      <c r="L55" s="44" t="n">
        <f aca="false">H55</f>
        <v>208368.323721288</v>
      </c>
      <c r="M55" s="47"/>
      <c r="N55" s="44" t="n">
        <f aca="false">H55</f>
        <v>208368.323721288</v>
      </c>
      <c r="O55" s="44" t="n">
        <f aca="false">H55</f>
        <v>208368.323721288</v>
      </c>
      <c r="P55" s="44" t="n">
        <f aca="false">IF(AND(E55&lt;&gt;"",E55&gt;Vencimentos!D47),F55*0.02,0)</f>
        <v>0</v>
      </c>
      <c r="Q55" s="44" t="n">
        <f aca="false">IF(AND(E55&lt;&gt;"",E55&gt;Vencimentos!D47),F55*0.00033*(E55-Vencimentos!D47),0)</f>
        <v>0</v>
      </c>
      <c r="R55" s="24"/>
      <c r="S55" s="23"/>
    </row>
    <row r="56" customFormat="false" ht="15" hidden="false" customHeight="true" outlineLevel="0" collapsed="false">
      <c r="B56" s="34" t="n">
        <v>46</v>
      </c>
      <c r="C56" s="35" t="n">
        <v>2025</v>
      </c>
      <c r="D56" s="34" t="s">
        <v>51</v>
      </c>
      <c r="E56" s="36"/>
      <c r="F56" s="37" t="n">
        <f aca="false">Reajustes!H7</f>
        <v>2218.00154223991</v>
      </c>
      <c r="G56" s="29"/>
      <c r="H56" s="38" t="n">
        <f aca="false">O55-IF(G56="",0,G56)</f>
        <v>208368.323721288</v>
      </c>
      <c r="I56" s="22" t="n">
        <f aca="false">'Índices IPCA'!C50</f>
        <v>7111.86</v>
      </c>
      <c r="J56" s="39" t="n">
        <f aca="false">'Índices IPCA'!D50</f>
        <v>0.00159988733187799</v>
      </c>
      <c r="K56" s="24"/>
      <c r="L56" s="38" t="n">
        <f aca="false">H56</f>
        <v>208368.323721288</v>
      </c>
      <c r="M56" s="24"/>
      <c r="N56" s="38" t="n">
        <f aca="false">H56</f>
        <v>208368.323721288</v>
      </c>
      <c r="O56" s="38" t="n">
        <f aca="false">H56</f>
        <v>208368.323721288</v>
      </c>
      <c r="P56" s="38" t="n">
        <f aca="false">IF(AND(E56&lt;&gt;"",E56&gt;Vencimentos!D48),F56*0.02,0)</f>
        <v>0</v>
      </c>
      <c r="Q56" s="38" t="n">
        <f aca="false">IF(AND(E56&lt;&gt;"",E56&gt;Vencimentos!D48),F56*0.00033*(E56-Vencimentos!D48),0)</f>
        <v>0</v>
      </c>
      <c r="R56" s="24"/>
      <c r="S56" s="23"/>
    </row>
    <row r="57" customFormat="false" ht="15" hidden="false" customHeight="true" outlineLevel="0" collapsed="false">
      <c r="B57" s="40" t="n">
        <v>47</v>
      </c>
      <c r="C57" s="41" t="n">
        <v>2025</v>
      </c>
      <c r="D57" s="40" t="s">
        <v>52</v>
      </c>
      <c r="E57" s="42"/>
      <c r="F57" s="43" t="n">
        <f aca="false">Reajustes!H7</f>
        <v>2218.00154223991</v>
      </c>
      <c r="G57" s="29"/>
      <c r="H57" s="44" t="n">
        <f aca="false">O56-IF(G57="",0,G57)</f>
        <v>208368.323721288</v>
      </c>
      <c r="I57" s="45" t="n">
        <f aca="false">'Índices IPCA'!C51</f>
        <v>7205.03</v>
      </c>
      <c r="J57" s="46" t="n">
        <f aca="false">'Índices IPCA'!D51</f>
        <v>0.0131006515876297</v>
      </c>
      <c r="K57" s="47"/>
      <c r="L57" s="44" t="n">
        <f aca="false">H57</f>
        <v>208368.323721288</v>
      </c>
      <c r="M57" s="47"/>
      <c r="N57" s="44" t="n">
        <f aca="false">H57</f>
        <v>208368.323721288</v>
      </c>
      <c r="O57" s="44" t="n">
        <f aca="false">H57</f>
        <v>208368.323721288</v>
      </c>
      <c r="P57" s="44" t="n">
        <f aca="false">IF(AND(E57&lt;&gt;"",E57&gt;Vencimentos!D49),F57*0.02,0)</f>
        <v>0</v>
      </c>
      <c r="Q57" s="44" t="n">
        <f aca="false">IF(AND(E57&lt;&gt;"",E57&gt;Vencimentos!D49),F57*0.00033*(E57-Vencimentos!D49),0)</f>
        <v>0</v>
      </c>
      <c r="R57" s="24"/>
      <c r="S57" s="23"/>
    </row>
    <row r="58" customFormat="false" ht="15" hidden="false" customHeight="true" outlineLevel="0" collapsed="false">
      <c r="B58" s="49" t="n">
        <v>48</v>
      </c>
      <c r="C58" s="50" t="n">
        <v>2025</v>
      </c>
      <c r="D58" s="49" t="s">
        <v>41</v>
      </c>
      <c r="E58" s="51"/>
      <c r="F58" s="52" t="n">
        <f aca="false">Reajustes!H7</f>
        <v>2218.00154223991</v>
      </c>
      <c r="G58" s="29"/>
      <c r="H58" s="53" t="n">
        <f aca="false">O57-IF(G58="",0,G58)</f>
        <v>208368.323721288</v>
      </c>
      <c r="I58" s="54" t="n">
        <f aca="false">'Índices IPCA'!C52</f>
        <v>7245.38</v>
      </c>
      <c r="J58" s="55" t="n">
        <f aca="false">'Índices IPCA'!D52</f>
        <v>0.00560025426681088</v>
      </c>
      <c r="K58" s="55" t="n">
        <f aca="false">Reajustes!F7</f>
        <v>0.0547725042727327</v>
      </c>
      <c r="L58" s="53" t="n">
        <f aca="false">IF(K58=0,H58,H58*(1+K58))</f>
        <v>219781.178622615</v>
      </c>
      <c r="M58" s="55" t="n">
        <f aca="false">Reajustes!E8</f>
        <v>0.106906226923436</v>
      </c>
      <c r="N58" s="53" t="n">
        <f aca="false">L58*(1+M58)</f>
        <v>243277.155177944</v>
      </c>
      <c r="O58" s="56" t="n">
        <f aca="false">N58</f>
        <v>243277.155177944</v>
      </c>
      <c r="P58" s="53" t="n">
        <f aca="false">IF(AND(E58&lt;&gt;"",E58&gt;Vencimentos!D50),F58*0.02,0)</f>
        <v>0</v>
      </c>
      <c r="Q58" s="53" t="n">
        <f aca="false">IF(AND(E58&lt;&gt;"",E58&gt;Vencimentos!D50),F58*0.00033*(E58-Vencimentos!D50),0)</f>
        <v>0</v>
      </c>
      <c r="R58" s="24"/>
      <c r="S58" s="23"/>
    </row>
    <row r="59" customFormat="false" ht="15" hidden="false" customHeight="true" outlineLevel="0" collapsed="false">
      <c r="B59" s="57" t="n">
        <v>49</v>
      </c>
      <c r="C59" s="58" t="n">
        <v>2025</v>
      </c>
      <c r="D59" s="57" t="s">
        <v>42</v>
      </c>
      <c r="E59" s="27"/>
      <c r="F59" s="28" t="n">
        <f aca="false">Reajustes!H8</f>
        <v>2589.59277369898</v>
      </c>
      <c r="G59" s="29"/>
      <c r="H59" s="30" t="n">
        <f aca="false">O58-IF(G59="",0,G59)</f>
        <v>243277.155177944</v>
      </c>
      <c r="I59" s="31" t="n">
        <f aca="false">'Índices IPCA'!C53</f>
        <v>7276.53</v>
      </c>
      <c r="J59" s="32" t="n">
        <f aca="false">'Índices IPCA'!D53</f>
        <v>0.00429929141052638</v>
      </c>
      <c r="K59" s="33"/>
      <c r="L59" s="30" t="n">
        <f aca="false">H59</f>
        <v>243277.155177944</v>
      </c>
      <c r="M59" s="33"/>
      <c r="N59" s="30" t="n">
        <f aca="false">H59</f>
        <v>243277.155177944</v>
      </c>
      <c r="O59" s="30" t="n">
        <f aca="false">H59</f>
        <v>243277.155177944</v>
      </c>
      <c r="P59" s="30" t="n">
        <f aca="false">IF(AND(E59&lt;&gt;"",E59&gt;Vencimentos!D51),F59*0.02,0)</f>
        <v>0</v>
      </c>
      <c r="Q59" s="30" t="n">
        <f aca="false">IF(AND(E59&lt;&gt;"",E59&gt;Vencimentos!D51),F59*0.00033*(E59-Vencimentos!D51),0)</f>
        <v>0</v>
      </c>
      <c r="R59" s="59" t="n">
        <f aca="false">Reajustes!I24</f>
        <v>62232.3703462687</v>
      </c>
      <c r="S59" s="23"/>
    </row>
    <row r="60" customFormat="false" ht="15" hidden="false" customHeight="true" outlineLevel="0" collapsed="false">
      <c r="B60" s="34" t="n">
        <v>50</v>
      </c>
      <c r="C60" s="35" t="n">
        <v>2025</v>
      </c>
      <c r="D60" s="34" t="s">
        <v>43</v>
      </c>
      <c r="E60" s="36"/>
      <c r="F60" s="37" t="n">
        <f aca="false">Reajustes!H8</f>
        <v>2589.59277369898</v>
      </c>
      <c r="G60" s="29"/>
      <c r="H60" s="38" t="n">
        <f aca="false">O59-IF(G60="",0,G60)</f>
        <v>243277.155177944</v>
      </c>
      <c r="I60" s="22" t="n">
        <f aca="false">'Índices IPCA'!C54</f>
        <v>7295.45</v>
      </c>
      <c r="J60" s="39" t="n">
        <f aca="false">'Índices IPCA'!D54</f>
        <v>0.0026001404515614</v>
      </c>
      <c r="K60" s="24"/>
      <c r="L60" s="38" t="n">
        <f aca="false">H60</f>
        <v>243277.155177944</v>
      </c>
      <c r="M60" s="24"/>
      <c r="N60" s="38" t="n">
        <f aca="false">H60</f>
        <v>243277.155177944</v>
      </c>
      <c r="O60" s="38" t="n">
        <f aca="false">H60</f>
        <v>243277.155177944</v>
      </c>
      <c r="P60" s="38" t="n">
        <f aca="false">IF(AND(E60&lt;&gt;"",E60&gt;Vencimentos!D52),F60*0.02,0)</f>
        <v>0</v>
      </c>
      <c r="Q60" s="38" t="n">
        <f aca="false">IF(AND(E60&lt;&gt;"",E60&gt;Vencimentos!D52),F60*0.00033*(E60-Vencimentos!D52),0)</f>
        <v>0</v>
      </c>
      <c r="R60" s="24"/>
      <c r="S60" s="23"/>
    </row>
    <row r="61" customFormat="false" ht="15" hidden="false" customHeight="true" outlineLevel="0" collapsed="false">
      <c r="B61" s="40" t="n">
        <v>51</v>
      </c>
      <c r="C61" s="41" t="n">
        <v>2025</v>
      </c>
      <c r="D61" s="40" t="s">
        <v>44</v>
      </c>
      <c r="E61" s="42"/>
      <c r="F61" s="43" t="n">
        <f aca="false">Reajustes!H8</f>
        <v>2589.59277369898</v>
      </c>
      <c r="G61" s="29"/>
      <c r="H61" s="44" t="n">
        <f aca="false">O60-IF(G61="",0,G61)</f>
        <v>243277.155177944</v>
      </c>
      <c r="I61" s="45" t="n">
        <f aca="false">'Índices IPCA'!C55</f>
        <v>7312.96</v>
      </c>
      <c r="J61" s="46" t="n">
        <f aca="false">'Índices IPCA'!D55</f>
        <v>0.0024001261059976</v>
      </c>
      <c r="K61" s="47"/>
      <c r="L61" s="44" t="n">
        <f aca="false">H61</f>
        <v>243277.155177944</v>
      </c>
      <c r="M61" s="47"/>
      <c r="N61" s="44" t="n">
        <f aca="false">H61</f>
        <v>243277.155177944</v>
      </c>
      <c r="O61" s="44" t="n">
        <f aca="false">H61</f>
        <v>243277.155177944</v>
      </c>
      <c r="P61" s="44" t="n">
        <f aca="false">IF(AND(E61&lt;&gt;"",E61&gt;Vencimentos!D53),F61*0.02,0)</f>
        <v>0</v>
      </c>
      <c r="Q61" s="44" t="n">
        <f aca="false">IF(AND(E61&lt;&gt;"",E61&gt;Vencimentos!D53),F61*0.00033*(E61-Vencimentos!D53),0)</f>
        <v>0</v>
      </c>
      <c r="R61" s="24"/>
      <c r="S61" s="23"/>
    </row>
    <row r="62" customFormat="false" ht="15" hidden="false" customHeight="true" outlineLevel="0" collapsed="false">
      <c r="B62" s="34" t="n">
        <v>52</v>
      </c>
      <c r="C62" s="35" t="n">
        <v>2025</v>
      </c>
      <c r="D62" s="34" t="s">
        <v>45</v>
      </c>
      <c r="E62" s="36"/>
      <c r="F62" s="37" t="n">
        <f aca="false">Reajustes!H8</f>
        <v>2589.59277369898</v>
      </c>
      <c r="G62" s="29"/>
      <c r="H62" s="38" t="n">
        <f aca="false">O61-IF(G62="",0,G62)</f>
        <v>243277.155177944</v>
      </c>
      <c r="I62" s="22" t="n">
        <f aca="false">'Índices IPCA'!C56</f>
        <v>7331.97</v>
      </c>
      <c r="J62" s="39" t="n">
        <f aca="false">'Índices IPCA'!D56</f>
        <v>0.00259949459589554</v>
      </c>
      <c r="K62" s="24"/>
      <c r="L62" s="38" t="n">
        <f aca="false">H62</f>
        <v>243277.155177944</v>
      </c>
      <c r="M62" s="24"/>
      <c r="N62" s="38" t="n">
        <f aca="false">H62</f>
        <v>243277.155177944</v>
      </c>
      <c r="O62" s="38" t="n">
        <f aca="false">H62</f>
        <v>243277.155177944</v>
      </c>
      <c r="P62" s="38" t="n">
        <f aca="false">IF(AND(E62&lt;&gt;"",E62&gt;Vencimentos!D54),F62*0.02,0)</f>
        <v>0</v>
      </c>
      <c r="Q62" s="38" t="n">
        <f aca="false">IF(AND(E62&lt;&gt;"",E62&gt;Vencimentos!D54),F62*0.00033*(E62-Vencimentos!D54),0)</f>
        <v>0</v>
      </c>
      <c r="R62" s="24"/>
      <c r="S62" s="23"/>
    </row>
    <row r="63" customFormat="false" ht="15" hidden="false" customHeight="true" outlineLevel="0" collapsed="false">
      <c r="B63" s="40" t="n">
        <v>53</v>
      </c>
      <c r="C63" s="41" t="n">
        <v>2025</v>
      </c>
      <c r="D63" s="40" t="s">
        <v>46</v>
      </c>
      <c r="E63" s="42"/>
      <c r="F63" s="43" t="n">
        <f aca="false">Reajustes!H8</f>
        <v>2589.59277369898</v>
      </c>
      <c r="G63" s="29"/>
      <c r="H63" s="44" t="n">
        <f aca="false">O62-IF(G63="",0,G63)</f>
        <v>243277.155177944</v>
      </c>
      <c r="I63" s="45" t="n">
        <f aca="false">'Índices IPCA'!C57</f>
        <v>7323.91</v>
      </c>
      <c r="J63" s="46" t="n">
        <f aca="false">'Índices IPCA'!D57</f>
        <v>-0.00109929527807675</v>
      </c>
      <c r="K63" s="47"/>
      <c r="L63" s="44" t="n">
        <f aca="false">H63</f>
        <v>243277.155177944</v>
      </c>
      <c r="M63" s="47"/>
      <c r="N63" s="44" t="n">
        <f aca="false">H63</f>
        <v>243277.155177944</v>
      </c>
      <c r="O63" s="44" t="n">
        <f aca="false">H63</f>
        <v>243277.155177944</v>
      </c>
      <c r="P63" s="44" t="n">
        <f aca="false">IF(AND(E63&lt;&gt;"",E63&gt;Vencimentos!D55),F63*0.02,0)</f>
        <v>0</v>
      </c>
      <c r="Q63" s="44" t="n">
        <f aca="false">IF(AND(E63&lt;&gt;"",E63&gt;Vencimentos!D55),F63*0.00033*(E63-Vencimentos!D55),0)</f>
        <v>0</v>
      </c>
      <c r="R63" s="24"/>
      <c r="S63" s="23"/>
    </row>
    <row r="64" customFormat="false" ht="15" hidden="false" customHeight="true" outlineLevel="0" collapsed="false">
      <c r="B64" s="34" t="n">
        <v>54</v>
      </c>
      <c r="C64" s="35" t="n">
        <v>2025</v>
      </c>
      <c r="D64" s="34" t="s">
        <v>47</v>
      </c>
      <c r="E64" s="36"/>
      <c r="F64" s="37" t="n">
        <f aca="false">Reajustes!H8</f>
        <v>2589.59277369898</v>
      </c>
      <c r="G64" s="29"/>
      <c r="H64" s="38" t="n">
        <f aca="false">O63-IF(G64="",0,G64)</f>
        <v>243277.155177944</v>
      </c>
      <c r="I64" s="22" t="n">
        <f aca="false">'Índices IPCA'!C58</f>
        <v>7359.06</v>
      </c>
      <c r="J64" s="39" t="n">
        <f aca="false">'Índices IPCA'!D58</f>
        <v>0.00479934898162328</v>
      </c>
      <c r="K64" s="24"/>
      <c r="L64" s="38" t="n">
        <f aca="false">H64</f>
        <v>243277.155177944</v>
      </c>
      <c r="M64" s="24"/>
      <c r="N64" s="38" t="n">
        <f aca="false">H64</f>
        <v>243277.155177944</v>
      </c>
      <c r="O64" s="38" t="n">
        <f aca="false">H64</f>
        <v>243277.155177944</v>
      </c>
      <c r="P64" s="38" t="n">
        <f aca="false">IF(AND(E64&lt;&gt;"",E64&gt;Vencimentos!D56),F64*0.02,0)</f>
        <v>0</v>
      </c>
      <c r="Q64" s="38" t="n">
        <f aca="false">IF(AND(E64&lt;&gt;"",E64&gt;Vencimentos!D56),F64*0.00033*(E64-Vencimentos!D56),0)</f>
        <v>0</v>
      </c>
      <c r="R64" s="24"/>
      <c r="S64" s="23"/>
    </row>
    <row r="65" customFormat="false" ht="15" hidden="false" customHeight="true" outlineLevel="0" collapsed="false">
      <c r="B65" s="40" t="n">
        <v>55</v>
      </c>
      <c r="C65" s="41" t="n">
        <v>2025</v>
      </c>
      <c r="D65" s="40" t="s">
        <v>48</v>
      </c>
      <c r="E65" s="42"/>
      <c r="F65" s="43" t="n">
        <f aca="false">Reajustes!H8</f>
        <v>2589.59277369898</v>
      </c>
      <c r="G65" s="29"/>
      <c r="H65" s="44" t="n">
        <f aca="false">O64-IF(G65="",0,G65)</f>
        <v>243277.155177944</v>
      </c>
      <c r="I65" s="45" t="n">
        <f aca="false">'Índices IPCA'!C59</f>
        <v>7365.69</v>
      </c>
      <c r="J65" s="46" t="n">
        <f aca="false">'Índices IPCA'!D59</f>
        <v>0.000900930281856541</v>
      </c>
      <c r="K65" s="47"/>
      <c r="L65" s="44" t="n">
        <f aca="false">H65</f>
        <v>243277.155177944</v>
      </c>
      <c r="M65" s="47"/>
      <c r="N65" s="44" t="n">
        <f aca="false">H65</f>
        <v>243277.155177944</v>
      </c>
      <c r="O65" s="44" t="n">
        <f aca="false">H65</f>
        <v>243277.155177944</v>
      </c>
      <c r="P65" s="44" t="n">
        <f aca="false">IF(AND(E65&lt;&gt;"",E65&gt;Vencimentos!D57),F65*0.02,0)</f>
        <v>0</v>
      </c>
      <c r="Q65" s="44" t="n">
        <f aca="false">IF(AND(E65&lt;&gt;"",E65&gt;Vencimentos!D57),F65*0.00033*(E65-Vencimentos!D57),0)</f>
        <v>0</v>
      </c>
      <c r="R65" s="24"/>
      <c r="S65" s="23"/>
    </row>
    <row r="66" customFormat="false" ht="15" hidden="false" customHeight="true" outlineLevel="0" collapsed="false">
      <c r="B66" s="34" t="n">
        <v>56</v>
      </c>
      <c r="C66" s="35" t="n">
        <v>2025</v>
      </c>
      <c r="D66" s="34" t="s">
        <v>49</v>
      </c>
      <c r="E66" s="36"/>
      <c r="F66" s="37" t="n">
        <f aca="false">Reajustes!H8</f>
        <v>2589.59277369898</v>
      </c>
      <c r="G66" s="29"/>
      <c r="H66" s="38" t="n">
        <f aca="false">O65-IF(G66="",0,G66)</f>
        <v>243277.155177944</v>
      </c>
      <c r="I66" s="22" t="n">
        <f aca="false">'Índices IPCA'!C60</f>
        <v>7378.94</v>
      </c>
      <c r="J66" s="39" t="n">
        <f aca="false">'Índices IPCA'!D60</f>
        <v>0.00179888102811821</v>
      </c>
      <c r="K66" s="24"/>
      <c r="L66" s="38" t="n">
        <f aca="false">H66</f>
        <v>243277.155177944</v>
      </c>
      <c r="M66" s="24"/>
      <c r="N66" s="38" t="n">
        <f aca="false">H66</f>
        <v>243277.155177944</v>
      </c>
      <c r="O66" s="38" t="n">
        <f aca="false">H66</f>
        <v>243277.155177944</v>
      </c>
      <c r="P66" s="38" t="n">
        <f aca="false">IF(AND(E66&lt;&gt;"",E66&gt;Vencimentos!D58),F66*0.02,0)</f>
        <v>0</v>
      </c>
      <c r="Q66" s="38" t="n">
        <f aca="false">IF(AND(E66&lt;&gt;"",E66&gt;Vencimentos!D58),F66*0.00033*(E66-Vencimentos!D58),0)</f>
        <v>0</v>
      </c>
      <c r="R66" s="24"/>
      <c r="S66" s="23"/>
    </row>
    <row r="67" customFormat="false" ht="15" hidden="false" customHeight="true" outlineLevel="0" collapsed="false">
      <c r="B67" s="40" t="n">
        <v>57</v>
      </c>
      <c r="C67" s="41" t="n">
        <v>2025</v>
      </c>
      <c r="D67" s="40" t="s">
        <v>50</v>
      </c>
      <c r="E67" s="42"/>
      <c r="F67" s="43" t="n">
        <f aca="false">Reajustes!H8</f>
        <v>2589.59277369898</v>
      </c>
      <c r="G67" s="29"/>
      <c r="H67" s="44" t="n">
        <f aca="false">O66-IF(G67="",0,G67)</f>
        <v>243277.155177944</v>
      </c>
      <c r="I67" s="45" t="n">
        <f aca="false">'Índices IPCA'!C61</f>
        <v>7403.29</v>
      </c>
      <c r="J67" s="46" t="n">
        <f aca="false">'Índices IPCA'!D61</f>
        <v>0.00329993196854838</v>
      </c>
      <c r="K67" s="47"/>
      <c r="L67" s="44" t="n">
        <f aca="false">H67</f>
        <v>243277.155177944</v>
      </c>
      <c r="M67" s="47"/>
      <c r="N67" s="44" t="n">
        <f aca="false">H67</f>
        <v>243277.155177944</v>
      </c>
      <c r="O67" s="44" t="n">
        <f aca="false">H67</f>
        <v>243277.155177944</v>
      </c>
      <c r="P67" s="44" t="n">
        <f aca="false">IF(AND(E67&lt;&gt;"",E67&gt;Vencimentos!D59),F67*0.02,0)</f>
        <v>0</v>
      </c>
      <c r="Q67" s="44" t="n">
        <f aca="false">IF(AND(E67&lt;&gt;"",E67&gt;Vencimentos!D59),F67*0.00033*(E67-Vencimentos!D59),0)</f>
        <v>0</v>
      </c>
      <c r="R67" s="24"/>
      <c r="S67" s="23"/>
    </row>
    <row r="68" customFormat="false" ht="15" hidden="false" customHeight="true" outlineLevel="0" collapsed="false">
      <c r="B68" s="34" t="n">
        <v>58</v>
      </c>
      <c r="C68" s="35" t="n">
        <v>2026</v>
      </c>
      <c r="D68" s="34" t="s">
        <v>51</v>
      </c>
      <c r="E68" s="36"/>
      <c r="F68" s="37" t="n">
        <f aca="false">Reajustes!H8</f>
        <v>2589.59277369898</v>
      </c>
      <c r="G68" s="29"/>
      <c r="H68" s="38" t="n">
        <f aca="false">O67-IF(G68="",0,G68)</f>
        <v>243277.155177944</v>
      </c>
      <c r="I68" s="22" t="n">
        <f aca="false">'Índices IPCA'!C62</f>
        <v>7427.73</v>
      </c>
      <c r="J68" s="39" t="n">
        <f aca="false">'Índices IPCA'!D62</f>
        <v>0.00330123499146995</v>
      </c>
      <c r="K68" s="24"/>
      <c r="L68" s="38" t="n">
        <f aca="false">H68</f>
        <v>243277.155177944</v>
      </c>
      <c r="M68" s="24"/>
      <c r="N68" s="38" t="n">
        <f aca="false">H68</f>
        <v>243277.155177944</v>
      </c>
      <c r="O68" s="38" t="n">
        <f aca="false">H68</f>
        <v>243277.155177944</v>
      </c>
      <c r="P68" s="38" t="n">
        <f aca="false">IF(AND(E68&lt;&gt;"",E68&gt;Vencimentos!D60),F68*0.02,0)</f>
        <v>0</v>
      </c>
      <c r="Q68" s="38" t="n">
        <f aca="false">IF(AND(E68&lt;&gt;"",E68&gt;Vencimentos!D60),F68*0.00033*(E68-Vencimentos!D60),0)</f>
        <v>0</v>
      </c>
      <c r="R68" s="24"/>
      <c r="S68" s="23"/>
    </row>
    <row r="69" customFormat="false" ht="15" hidden="false" customHeight="true" outlineLevel="0" collapsed="false">
      <c r="B69" s="40" t="n">
        <v>59</v>
      </c>
      <c r="C69" s="41" t="n">
        <v>2026</v>
      </c>
      <c r="D69" s="40" t="s">
        <v>52</v>
      </c>
      <c r="E69" s="42"/>
      <c r="F69" s="43" t="n">
        <f aca="false">Reajustes!H8</f>
        <v>2589.59277369898</v>
      </c>
      <c r="G69" s="29"/>
      <c r="H69" s="44" t="n">
        <f aca="false">O68-IF(G69="",0,G69)</f>
        <v>243277.155177944</v>
      </c>
      <c r="I69" s="45" t="n">
        <f aca="false">'Índices IPCA'!C63</f>
        <v>7479.72</v>
      </c>
      <c r="J69" s="46" t="n">
        <f aca="false">'Índices IPCA'!D63</f>
        <v>0.00699944666809384</v>
      </c>
      <c r="K69" s="47"/>
      <c r="L69" s="44" t="n">
        <f aca="false">H69</f>
        <v>243277.155177944</v>
      </c>
      <c r="M69" s="47"/>
      <c r="N69" s="44" t="n">
        <f aca="false">H69</f>
        <v>243277.155177944</v>
      </c>
      <c r="O69" s="44" t="n">
        <f aca="false">H69</f>
        <v>243277.155177944</v>
      </c>
      <c r="P69" s="44" t="n">
        <f aca="false">IF(AND(E69&lt;&gt;"",E69&gt;Vencimentos!D61),F69*0.02,0)</f>
        <v>0</v>
      </c>
      <c r="Q69" s="44" t="n">
        <f aca="false">IF(AND(E69&lt;&gt;"",E69&gt;Vencimentos!D61),F69*0.00033*(E69-Vencimentos!D61),0)</f>
        <v>0</v>
      </c>
      <c r="R69" s="24"/>
      <c r="S69" s="23"/>
    </row>
    <row r="70" customFormat="false" ht="15" hidden="false" customHeight="true" outlineLevel="0" collapsed="false">
      <c r="B70" s="49" t="n">
        <v>60</v>
      </c>
      <c r="C70" s="50" t="n">
        <v>2026</v>
      </c>
      <c r="D70" s="49" t="s">
        <v>41</v>
      </c>
      <c r="E70" s="51"/>
      <c r="F70" s="52" t="n">
        <f aca="false">Reajustes!H8</f>
        <v>2589.59277369898</v>
      </c>
      <c r="G70" s="29"/>
      <c r="H70" s="53" t="n">
        <f aca="false">O69-IF(G70="",0,G70)</f>
        <v>243277.155177944</v>
      </c>
      <c r="I70" s="54" t="n">
        <f aca="false">'Índices IPCA'!C64</f>
        <v>7545.54</v>
      </c>
      <c r="J70" s="55" t="n">
        <f aca="false">'Índices IPCA'!D64</f>
        <v>0.00879979464471928</v>
      </c>
      <c r="K70" s="55" t="n">
        <f aca="false">Reajustes!F8</f>
        <v>0.0414277788052524</v>
      </c>
      <c r="L70" s="53" t="n">
        <f aca="false">IF(K70=0,H70,H70*(1+K70))</f>
        <v>253355.587351027</v>
      </c>
      <c r="M70" s="55" t="n">
        <f aca="false">Reajustes!E9</f>
        <v>0.106906226923436</v>
      </c>
      <c r="N70" s="53" t="n">
        <f aca="false">L70*(1+M70)</f>
        <v>280440.877264696</v>
      </c>
      <c r="O70" s="56" t="n">
        <f aca="false">N70</f>
        <v>280440.877264696</v>
      </c>
      <c r="P70" s="53" t="n">
        <f aca="false">IF(AND(E70&lt;&gt;"",E70&gt;Vencimentos!D62),F70*0.02,0)</f>
        <v>0</v>
      </c>
      <c r="Q70" s="53" t="n">
        <f aca="false">IF(AND(E70&lt;&gt;"",E70&gt;Vencimentos!D62),F70*0.00033*(E70-Vencimentos!D62),0)</f>
        <v>0</v>
      </c>
      <c r="R70" s="24"/>
      <c r="S70" s="23"/>
    </row>
    <row r="71" customFormat="false" ht="15" hidden="false" customHeight="true" outlineLevel="0" collapsed="false">
      <c r="B71" s="57" t="n">
        <v>61</v>
      </c>
      <c r="C71" s="58" t="n">
        <v>2026</v>
      </c>
      <c r="D71" s="57" t="s">
        <v>42</v>
      </c>
      <c r="E71" s="27"/>
      <c r="F71" s="28" t="n">
        <f aca="false">Reajustes!H9</f>
        <v>2985.18645815002</v>
      </c>
      <c r="G71" s="29"/>
      <c r="H71" s="30" t="n">
        <f aca="false">O70-IF(G71="",0,G71)</f>
        <v>280440.877264696</v>
      </c>
      <c r="I71" s="60"/>
      <c r="J71" s="61"/>
      <c r="K71" s="33"/>
      <c r="L71" s="30" t="n">
        <f aca="false">H71</f>
        <v>280440.877264696</v>
      </c>
      <c r="M71" s="33"/>
      <c r="N71" s="30" t="n">
        <f aca="false">H71</f>
        <v>280440.877264696</v>
      </c>
      <c r="O71" s="30" t="n">
        <f aca="false">H71</f>
        <v>280440.877264696</v>
      </c>
      <c r="P71" s="30" t="n">
        <f aca="false">IF(AND(E71&lt;&gt;"",E71&gt;Vencimentos!D63),F71*0.02,0)</f>
        <v>0</v>
      </c>
      <c r="Q71" s="30" t="n">
        <f aca="false">IF(AND(E71&lt;&gt;"",E71&gt;Vencimentos!D63),F71*0.00033*(E71-Vencimentos!D63),0)</f>
        <v>0</v>
      </c>
      <c r="R71" s="59" t="n">
        <f aca="false">Reajustes!I25</f>
        <v>71739.1672942061</v>
      </c>
      <c r="S71" s="23"/>
    </row>
    <row r="72" customFormat="false" ht="15" hidden="false" customHeight="true" outlineLevel="0" collapsed="false">
      <c r="B72" s="34" t="n">
        <v>62</v>
      </c>
      <c r="C72" s="35" t="n">
        <v>2026</v>
      </c>
      <c r="D72" s="34" t="s">
        <v>43</v>
      </c>
      <c r="E72" s="36"/>
      <c r="F72" s="37" t="n">
        <f aca="false">Reajustes!H9</f>
        <v>2985.18645815002</v>
      </c>
      <c r="G72" s="29"/>
      <c r="H72" s="38" t="n">
        <f aca="false">O71-IF(G72="",0,G72)</f>
        <v>280440.877264696</v>
      </c>
      <c r="I72" s="62"/>
      <c r="J72" s="63"/>
      <c r="K72" s="24"/>
      <c r="L72" s="38" t="n">
        <f aca="false">H72</f>
        <v>280440.877264696</v>
      </c>
      <c r="M72" s="24"/>
      <c r="N72" s="38" t="n">
        <f aca="false">H72</f>
        <v>280440.877264696</v>
      </c>
      <c r="O72" s="38" t="n">
        <f aca="false">H72</f>
        <v>280440.877264696</v>
      </c>
      <c r="P72" s="38" t="n">
        <f aca="false">IF(AND(E72&lt;&gt;"",E72&gt;Vencimentos!D64),F72*0.02,0)</f>
        <v>0</v>
      </c>
      <c r="Q72" s="38" t="n">
        <f aca="false">IF(AND(E72&lt;&gt;"",E72&gt;Vencimentos!D64),F72*0.00033*(E72-Vencimentos!D64),0)</f>
        <v>0</v>
      </c>
      <c r="R72" s="24"/>
      <c r="S72" s="23"/>
    </row>
    <row r="73" customFormat="false" ht="15" hidden="false" customHeight="true" outlineLevel="0" collapsed="false">
      <c r="B73" s="40" t="n">
        <v>63</v>
      </c>
      <c r="C73" s="41" t="n">
        <v>2026</v>
      </c>
      <c r="D73" s="40" t="s">
        <v>44</v>
      </c>
      <c r="E73" s="42"/>
      <c r="F73" s="43" t="n">
        <f aca="false">Reajustes!H9</f>
        <v>2985.18645815002</v>
      </c>
      <c r="G73" s="29"/>
      <c r="H73" s="44" t="n">
        <f aca="false">O72-IF(G73="",0,G73)</f>
        <v>280440.877264696</v>
      </c>
      <c r="I73" s="64"/>
      <c r="J73" s="65"/>
      <c r="K73" s="47"/>
      <c r="L73" s="44" t="n">
        <f aca="false">H73</f>
        <v>280440.877264696</v>
      </c>
      <c r="M73" s="47"/>
      <c r="N73" s="44" t="n">
        <f aca="false">H73</f>
        <v>280440.877264696</v>
      </c>
      <c r="O73" s="44" t="n">
        <f aca="false">H73</f>
        <v>280440.877264696</v>
      </c>
      <c r="P73" s="44" t="n">
        <f aca="false">IF(AND(E73&lt;&gt;"",E73&gt;Vencimentos!D65),F73*0.02,0)</f>
        <v>0</v>
      </c>
      <c r="Q73" s="44" t="n">
        <f aca="false">IF(AND(E73&lt;&gt;"",E73&gt;Vencimentos!D65),F73*0.00033*(E73-Vencimentos!D65),0)</f>
        <v>0</v>
      </c>
      <c r="R73" s="24"/>
      <c r="S73" s="23"/>
    </row>
    <row r="74" customFormat="false" ht="15" hidden="false" customHeight="true" outlineLevel="0" collapsed="false">
      <c r="B74" s="34" t="n">
        <v>64</v>
      </c>
      <c r="C74" s="35" t="n">
        <v>2026</v>
      </c>
      <c r="D74" s="34" t="s">
        <v>45</v>
      </c>
      <c r="E74" s="36"/>
      <c r="F74" s="37" t="n">
        <f aca="false">Reajustes!H9</f>
        <v>2985.18645815002</v>
      </c>
      <c r="G74" s="29"/>
      <c r="H74" s="38" t="n">
        <f aca="false">O73-IF(G74="",0,G74)</f>
        <v>280440.877264696</v>
      </c>
      <c r="I74" s="62"/>
      <c r="J74" s="63"/>
      <c r="K74" s="24"/>
      <c r="L74" s="38" t="n">
        <f aca="false">H74</f>
        <v>280440.877264696</v>
      </c>
      <c r="M74" s="24"/>
      <c r="N74" s="38" t="n">
        <f aca="false">H74</f>
        <v>280440.877264696</v>
      </c>
      <c r="O74" s="38" t="n">
        <f aca="false">H74</f>
        <v>280440.877264696</v>
      </c>
      <c r="P74" s="38" t="n">
        <f aca="false">IF(AND(E74&lt;&gt;"",E74&gt;Vencimentos!D66),F74*0.02,0)</f>
        <v>0</v>
      </c>
      <c r="Q74" s="38" t="n">
        <f aca="false">IF(AND(E74&lt;&gt;"",E74&gt;Vencimentos!D66),F74*0.00033*(E74-Vencimentos!D66),0)</f>
        <v>0</v>
      </c>
      <c r="R74" s="24"/>
      <c r="S74" s="23"/>
    </row>
    <row r="75" customFormat="false" ht="15" hidden="false" customHeight="true" outlineLevel="0" collapsed="false">
      <c r="B75" s="40" t="n">
        <v>65</v>
      </c>
      <c r="C75" s="41" t="n">
        <v>2026</v>
      </c>
      <c r="D75" s="40" t="s">
        <v>46</v>
      </c>
      <c r="E75" s="42"/>
      <c r="F75" s="43" t="n">
        <f aca="false">Reajustes!H9</f>
        <v>2985.18645815002</v>
      </c>
      <c r="G75" s="29"/>
      <c r="H75" s="44" t="n">
        <f aca="false">O74-IF(G75="",0,G75)</f>
        <v>280440.877264696</v>
      </c>
      <c r="I75" s="64"/>
      <c r="J75" s="65"/>
      <c r="K75" s="47"/>
      <c r="L75" s="44" t="n">
        <f aca="false">H75</f>
        <v>280440.877264696</v>
      </c>
      <c r="M75" s="47"/>
      <c r="N75" s="44" t="n">
        <f aca="false">H75</f>
        <v>280440.877264696</v>
      </c>
      <c r="O75" s="44" t="n">
        <f aca="false">H75</f>
        <v>280440.877264696</v>
      </c>
      <c r="P75" s="44" t="n">
        <f aca="false">IF(AND(E75&lt;&gt;"",E75&gt;Vencimentos!D67),F75*0.02,0)</f>
        <v>0</v>
      </c>
      <c r="Q75" s="44" t="n">
        <f aca="false">IF(AND(E75&lt;&gt;"",E75&gt;Vencimentos!D67),F75*0.00033*(E75-Vencimentos!D67),0)</f>
        <v>0</v>
      </c>
      <c r="R75" s="24"/>
      <c r="S75" s="23"/>
    </row>
    <row r="76" customFormat="false" ht="15" hidden="false" customHeight="true" outlineLevel="0" collapsed="false">
      <c r="B76" s="34" t="n">
        <v>66</v>
      </c>
      <c r="C76" s="35" t="n">
        <v>2026</v>
      </c>
      <c r="D76" s="34" t="s">
        <v>47</v>
      </c>
      <c r="E76" s="36"/>
      <c r="F76" s="37" t="n">
        <f aca="false">Reajustes!H9</f>
        <v>2985.18645815002</v>
      </c>
      <c r="G76" s="29"/>
      <c r="H76" s="38" t="n">
        <f aca="false">O75-IF(G76="",0,G76)</f>
        <v>280440.877264696</v>
      </c>
      <c r="I76" s="62"/>
      <c r="J76" s="63"/>
      <c r="K76" s="24"/>
      <c r="L76" s="38" t="n">
        <f aca="false">H76</f>
        <v>280440.877264696</v>
      </c>
      <c r="M76" s="24"/>
      <c r="N76" s="38" t="n">
        <f aca="false">H76</f>
        <v>280440.877264696</v>
      </c>
      <c r="O76" s="38" t="n">
        <f aca="false">H76</f>
        <v>280440.877264696</v>
      </c>
      <c r="P76" s="38" t="n">
        <f aca="false">IF(AND(E76&lt;&gt;"",E76&gt;Vencimentos!D68),F76*0.02,0)</f>
        <v>0</v>
      </c>
      <c r="Q76" s="38" t="n">
        <f aca="false">IF(AND(E76&lt;&gt;"",E76&gt;Vencimentos!D68),F76*0.00033*(E76-Vencimentos!D68),0)</f>
        <v>0</v>
      </c>
      <c r="R76" s="24"/>
      <c r="S76" s="23"/>
    </row>
    <row r="77" customFormat="false" ht="15" hidden="false" customHeight="true" outlineLevel="0" collapsed="false">
      <c r="B77" s="40" t="n">
        <v>67</v>
      </c>
      <c r="C77" s="41" t="n">
        <v>2026</v>
      </c>
      <c r="D77" s="40" t="s">
        <v>48</v>
      </c>
      <c r="E77" s="42"/>
      <c r="F77" s="43" t="n">
        <f aca="false">Reajustes!H9</f>
        <v>2985.18645815002</v>
      </c>
      <c r="G77" s="29"/>
      <c r="H77" s="44" t="n">
        <f aca="false">O76-IF(G77="",0,G77)</f>
        <v>280440.877264696</v>
      </c>
      <c r="I77" s="64"/>
      <c r="J77" s="65"/>
      <c r="K77" s="47"/>
      <c r="L77" s="44" t="n">
        <f aca="false">H77</f>
        <v>280440.877264696</v>
      </c>
      <c r="M77" s="47"/>
      <c r="N77" s="44" t="n">
        <f aca="false">H77</f>
        <v>280440.877264696</v>
      </c>
      <c r="O77" s="44" t="n">
        <f aca="false">H77</f>
        <v>280440.877264696</v>
      </c>
      <c r="P77" s="44" t="n">
        <f aca="false">IF(AND(E77&lt;&gt;"",E77&gt;Vencimentos!D69),F77*0.02,0)</f>
        <v>0</v>
      </c>
      <c r="Q77" s="44" t="n">
        <f aca="false">IF(AND(E77&lt;&gt;"",E77&gt;Vencimentos!D69),F77*0.00033*(E77-Vencimentos!D69),0)</f>
        <v>0</v>
      </c>
      <c r="R77" s="24"/>
      <c r="S77" s="23"/>
    </row>
    <row r="78" customFormat="false" ht="15" hidden="false" customHeight="true" outlineLevel="0" collapsed="false">
      <c r="B78" s="34" t="n">
        <v>68</v>
      </c>
      <c r="C78" s="35" t="n">
        <v>2026</v>
      </c>
      <c r="D78" s="34" t="s">
        <v>49</v>
      </c>
      <c r="E78" s="36"/>
      <c r="F78" s="37" t="n">
        <f aca="false">Reajustes!H9</f>
        <v>2985.18645815002</v>
      </c>
      <c r="G78" s="29"/>
      <c r="H78" s="38" t="n">
        <f aca="false">O77-IF(G78="",0,G78)</f>
        <v>280440.877264696</v>
      </c>
      <c r="I78" s="62"/>
      <c r="J78" s="63"/>
      <c r="K78" s="24"/>
      <c r="L78" s="38" t="n">
        <f aca="false">H78</f>
        <v>280440.877264696</v>
      </c>
      <c r="M78" s="24"/>
      <c r="N78" s="38" t="n">
        <f aca="false">H78</f>
        <v>280440.877264696</v>
      </c>
      <c r="O78" s="38" t="n">
        <f aca="false">H78</f>
        <v>280440.877264696</v>
      </c>
      <c r="P78" s="38" t="n">
        <f aca="false">IF(AND(E78&lt;&gt;"",E78&gt;Vencimentos!D70),F78*0.02,0)</f>
        <v>0</v>
      </c>
      <c r="Q78" s="38" t="n">
        <f aca="false">IF(AND(E78&lt;&gt;"",E78&gt;Vencimentos!D70),F78*0.00033*(E78-Vencimentos!D70),0)</f>
        <v>0</v>
      </c>
      <c r="R78" s="24"/>
      <c r="S78" s="23"/>
    </row>
    <row r="79" customFormat="false" ht="15" hidden="false" customHeight="true" outlineLevel="0" collapsed="false">
      <c r="B79" s="40" t="n">
        <v>69</v>
      </c>
      <c r="C79" s="41" t="n">
        <v>2026</v>
      </c>
      <c r="D79" s="40" t="s">
        <v>50</v>
      </c>
      <c r="E79" s="42"/>
      <c r="F79" s="43" t="n">
        <f aca="false">Reajustes!H9</f>
        <v>2985.18645815002</v>
      </c>
      <c r="G79" s="29"/>
      <c r="H79" s="44" t="n">
        <f aca="false">O78-IF(G79="",0,G79)</f>
        <v>280440.877264696</v>
      </c>
      <c r="I79" s="64"/>
      <c r="J79" s="65"/>
      <c r="K79" s="47"/>
      <c r="L79" s="44" t="n">
        <f aca="false">H79</f>
        <v>280440.877264696</v>
      </c>
      <c r="M79" s="47"/>
      <c r="N79" s="44" t="n">
        <f aca="false">H79</f>
        <v>280440.877264696</v>
      </c>
      <c r="O79" s="44" t="n">
        <f aca="false">H79</f>
        <v>280440.877264696</v>
      </c>
      <c r="P79" s="44" t="n">
        <f aca="false">IF(AND(E79&lt;&gt;"",E79&gt;Vencimentos!D71),F79*0.02,0)</f>
        <v>0</v>
      </c>
      <c r="Q79" s="44" t="n">
        <f aca="false">IF(AND(E79&lt;&gt;"",E79&gt;Vencimentos!D71),F79*0.00033*(E79-Vencimentos!D71),0)</f>
        <v>0</v>
      </c>
      <c r="R79" s="24"/>
      <c r="S79" s="23"/>
    </row>
    <row r="80" customFormat="false" ht="15" hidden="false" customHeight="true" outlineLevel="0" collapsed="false">
      <c r="B80" s="34" t="n">
        <v>70</v>
      </c>
      <c r="C80" s="35" t="n">
        <v>2027</v>
      </c>
      <c r="D80" s="34" t="s">
        <v>51</v>
      </c>
      <c r="E80" s="36"/>
      <c r="F80" s="37" t="n">
        <f aca="false">Reajustes!H9</f>
        <v>2985.18645815002</v>
      </c>
      <c r="G80" s="29"/>
      <c r="H80" s="38" t="n">
        <f aca="false">O79-IF(G80="",0,G80)</f>
        <v>280440.877264696</v>
      </c>
      <c r="I80" s="62"/>
      <c r="J80" s="63"/>
      <c r="K80" s="24"/>
      <c r="L80" s="38" t="n">
        <f aca="false">H80</f>
        <v>280440.877264696</v>
      </c>
      <c r="M80" s="24"/>
      <c r="N80" s="38" t="n">
        <f aca="false">H80</f>
        <v>280440.877264696</v>
      </c>
      <c r="O80" s="38" t="n">
        <f aca="false">H80</f>
        <v>280440.877264696</v>
      </c>
      <c r="P80" s="38" t="n">
        <f aca="false">IF(AND(E80&lt;&gt;"",E80&gt;Vencimentos!D72),F80*0.02,0)</f>
        <v>0</v>
      </c>
      <c r="Q80" s="38" t="n">
        <f aca="false">IF(AND(E80&lt;&gt;"",E80&gt;Vencimentos!D72),F80*0.00033*(E80-Vencimentos!D72),0)</f>
        <v>0</v>
      </c>
      <c r="R80" s="24"/>
      <c r="S80" s="23"/>
    </row>
    <row r="81" customFormat="false" ht="15" hidden="false" customHeight="true" outlineLevel="0" collapsed="false">
      <c r="B81" s="40" t="n">
        <v>71</v>
      </c>
      <c r="C81" s="41" t="n">
        <v>2027</v>
      </c>
      <c r="D81" s="40" t="s">
        <v>52</v>
      </c>
      <c r="E81" s="42"/>
      <c r="F81" s="43" t="n">
        <f aca="false">Reajustes!H9</f>
        <v>2985.18645815002</v>
      </c>
      <c r="G81" s="29"/>
      <c r="H81" s="44" t="n">
        <f aca="false">O80-IF(G81="",0,G81)</f>
        <v>280440.877264696</v>
      </c>
      <c r="I81" s="64"/>
      <c r="J81" s="65"/>
      <c r="K81" s="47"/>
      <c r="L81" s="44" t="n">
        <f aca="false">H81</f>
        <v>280440.877264696</v>
      </c>
      <c r="M81" s="47"/>
      <c r="N81" s="44" t="n">
        <f aca="false">H81</f>
        <v>280440.877264696</v>
      </c>
      <c r="O81" s="44" t="n">
        <f aca="false">H81</f>
        <v>280440.877264696</v>
      </c>
      <c r="P81" s="44" t="n">
        <f aca="false">IF(AND(E81&lt;&gt;"",E81&gt;Vencimentos!D73),F81*0.02,0)</f>
        <v>0</v>
      </c>
      <c r="Q81" s="44" t="n">
        <f aca="false">IF(AND(E81&lt;&gt;"",E81&gt;Vencimentos!D73),F81*0.00033*(E81-Vencimentos!D73),0)</f>
        <v>0</v>
      </c>
      <c r="R81" s="24"/>
      <c r="S81" s="23"/>
    </row>
    <row r="82" customFormat="false" ht="15" hidden="false" customHeight="true" outlineLevel="0" collapsed="false">
      <c r="B82" s="49" t="n">
        <v>72</v>
      </c>
      <c r="C82" s="50" t="n">
        <v>2027</v>
      </c>
      <c r="D82" s="49" t="s">
        <v>41</v>
      </c>
      <c r="E82" s="51"/>
      <c r="F82" s="52" t="n">
        <f aca="false">Reajustes!H9</f>
        <v>2985.18645815002</v>
      </c>
      <c r="G82" s="29"/>
      <c r="H82" s="53" t="n">
        <f aca="false">O81-IF(G82="",0,G82)</f>
        <v>280440.877264696</v>
      </c>
      <c r="I82" s="66"/>
      <c r="J82" s="67"/>
      <c r="K82" s="55" t="n">
        <f aca="false">Reajustes!F9</f>
        <v>0</v>
      </c>
      <c r="L82" s="53" t="n">
        <f aca="false">IF(K82=0,H82,H82*(1+K82))</f>
        <v>280440.877264696</v>
      </c>
      <c r="M82" s="55" t="n">
        <f aca="false">Reajustes!E10</f>
        <v>0.106906226923436</v>
      </c>
      <c r="N82" s="53" t="n">
        <f aca="false">L82*(1+M82)</f>
        <v>310421.753328163</v>
      </c>
      <c r="O82" s="56" t="n">
        <f aca="false">N82</f>
        <v>310421.753328163</v>
      </c>
      <c r="P82" s="53" t="n">
        <f aca="false">IF(AND(E82&lt;&gt;"",E82&gt;Vencimentos!D74),F82*0.02,0)</f>
        <v>0</v>
      </c>
      <c r="Q82" s="53" t="n">
        <f aca="false">IF(AND(E82&lt;&gt;"",E82&gt;Vencimentos!D74),F82*0.00033*(E82-Vencimentos!D74),0)</f>
        <v>0</v>
      </c>
      <c r="R82" s="24"/>
      <c r="S82" s="23"/>
    </row>
    <row r="83" customFormat="false" ht="15" hidden="false" customHeight="true" outlineLevel="0" collapsed="false">
      <c r="B83" s="57" t="n">
        <v>73</v>
      </c>
      <c r="C83" s="58" t="n">
        <v>2027</v>
      </c>
      <c r="D83" s="57" t="s">
        <v>42</v>
      </c>
      <c r="E83" s="27"/>
      <c r="F83" s="28" t="n">
        <f aca="false">Reajustes!H10</f>
        <v>2985.18645815002</v>
      </c>
      <c r="G83" s="29"/>
      <c r="H83" s="30" t="n">
        <f aca="false">O82-IF(G83="",0,G83)</f>
        <v>310421.753328163</v>
      </c>
      <c r="I83" s="60"/>
      <c r="J83" s="61"/>
      <c r="K83" s="33"/>
      <c r="L83" s="30" t="n">
        <f aca="false">H83</f>
        <v>310421.753328163</v>
      </c>
      <c r="M83" s="33"/>
      <c r="N83" s="30" t="n">
        <f aca="false">H83</f>
        <v>310421.753328163</v>
      </c>
      <c r="O83" s="30" t="n">
        <f aca="false">H83</f>
        <v>310421.753328163</v>
      </c>
      <c r="P83" s="30" t="n">
        <f aca="false">IF(AND(E83&lt;&gt;"",E83&gt;Vencimentos!D75),F83*0.02,0)</f>
        <v>0</v>
      </c>
      <c r="Q83" s="30" t="n">
        <f aca="false">IF(AND(E83&lt;&gt;"",E83&gt;Vencimentos!D75),F83*0.00033*(E83-Vencimentos!D75),0)</f>
        <v>0</v>
      </c>
      <c r="R83" s="59" t="n">
        <f aca="false">Reajustes!I26</f>
        <v>79408.5309922588</v>
      </c>
      <c r="S83" s="23"/>
    </row>
    <row r="84" customFormat="false" ht="15" hidden="false" customHeight="true" outlineLevel="0" collapsed="false">
      <c r="B84" s="34" t="n">
        <v>74</v>
      </c>
      <c r="C84" s="35" t="n">
        <v>2027</v>
      </c>
      <c r="D84" s="34" t="s">
        <v>43</v>
      </c>
      <c r="E84" s="36"/>
      <c r="F84" s="37" t="n">
        <f aca="false">Reajustes!H10</f>
        <v>2985.18645815002</v>
      </c>
      <c r="G84" s="29"/>
      <c r="H84" s="38" t="n">
        <f aca="false">O83-IF(G84="",0,G84)</f>
        <v>310421.753328163</v>
      </c>
      <c r="I84" s="62"/>
      <c r="J84" s="63"/>
      <c r="K84" s="24"/>
      <c r="L84" s="38" t="n">
        <f aca="false">H84</f>
        <v>310421.753328163</v>
      </c>
      <c r="M84" s="24"/>
      <c r="N84" s="38" t="n">
        <f aca="false">H84</f>
        <v>310421.753328163</v>
      </c>
      <c r="O84" s="38" t="n">
        <f aca="false">H84</f>
        <v>310421.753328163</v>
      </c>
      <c r="P84" s="38" t="n">
        <f aca="false">IF(AND(E84&lt;&gt;"",E84&gt;Vencimentos!D76),F84*0.02,0)</f>
        <v>0</v>
      </c>
      <c r="Q84" s="38" t="n">
        <f aca="false">IF(AND(E84&lt;&gt;"",E84&gt;Vencimentos!D76),F84*0.00033*(E84-Vencimentos!D76),0)</f>
        <v>0</v>
      </c>
      <c r="R84" s="24"/>
      <c r="S84" s="23"/>
    </row>
    <row r="85" customFormat="false" ht="15" hidden="false" customHeight="true" outlineLevel="0" collapsed="false">
      <c r="B85" s="40" t="n">
        <v>75</v>
      </c>
      <c r="C85" s="41" t="n">
        <v>2027</v>
      </c>
      <c r="D85" s="40" t="s">
        <v>44</v>
      </c>
      <c r="E85" s="42"/>
      <c r="F85" s="43" t="n">
        <f aca="false">Reajustes!H10</f>
        <v>2985.18645815002</v>
      </c>
      <c r="G85" s="29"/>
      <c r="H85" s="44" t="n">
        <f aca="false">O84-IF(G85="",0,G85)</f>
        <v>310421.753328163</v>
      </c>
      <c r="I85" s="64"/>
      <c r="J85" s="65"/>
      <c r="K85" s="47"/>
      <c r="L85" s="44" t="n">
        <f aca="false">H85</f>
        <v>310421.753328163</v>
      </c>
      <c r="M85" s="47"/>
      <c r="N85" s="44" t="n">
        <f aca="false">H85</f>
        <v>310421.753328163</v>
      </c>
      <c r="O85" s="44" t="n">
        <f aca="false">H85</f>
        <v>310421.753328163</v>
      </c>
      <c r="P85" s="44" t="n">
        <f aca="false">IF(AND(E85&lt;&gt;"",E85&gt;Vencimentos!D77),F85*0.02,0)</f>
        <v>0</v>
      </c>
      <c r="Q85" s="44" t="n">
        <f aca="false">IF(AND(E85&lt;&gt;"",E85&gt;Vencimentos!D77),F85*0.00033*(E85-Vencimentos!D77),0)</f>
        <v>0</v>
      </c>
      <c r="R85" s="24"/>
      <c r="S85" s="23"/>
    </row>
    <row r="86" customFormat="false" ht="15" hidden="false" customHeight="true" outlineLevel="0" collapsed="false">
      <c r="B86" s="34" t="n">
        <v>76</v>
      </c>
      <c r="C86" s="35" t="n">
        <v>2027</v>
      </c>
      <c r="D86" s="34" t="s">
        <v>45</v>
      </c>
      <c r="E86" s="36"/>
      <c r="F86" s="37" t="n">
        <f aca="false">Reajustes!H10</f>
        <v>2985.18645815002</v>
      </c>
      <c r="G86" s="29"/>
      <c r="H86" s="38" t="n">
        <f aca="false">O85-IF(G86="",0,G86)</f>
        <v>310421.753328163</v>
      </c>
      <c r="I86" s="62"/>
      <c r="J86" s="63"/>
      <c r="K86" s="24"/>
      <c r="L86" s="38" t="n">
        <f aca="false">H86</f>
        <v>310421.753328163</v>
      </c>
      <c r="M86" s="24"/>
      <c r="N86" s="38" t="n">
        <f aca="false">H86</f>
        <v>310421.753328163</v>
      </c>
      <c r="O86" s="38" t="n">
        <f aca="false">H86</f>
        <v>310421.753328163</v>
      </c>
      <c r="P86" s="38" t="n">
        <f aca="false">IF(AND(E86&lt;&gt;"",E86&gt;Vencimentos!D78),F86*0.02,0)</f>
        <v>0</v>
      </c>
      <c r="Q86" s="38" t="n">
        <f aca="false">IF(AND(E86&lt;&gt;"",E86&gt;Vencimentos!D78),F86*0.00033*(E86-Vencimentos!D78),0)</f>
        <v>0</v>
      </c>
      <c r="R86" s="24"/>
      <c r="S86" s="23"/>
    </row>
    <row r="87" customFormat="false" ht="15" hidden="false" customHeight="true" outlineLevel="0" collapsed="false">
      <c r="B87" s="40" t="n">
        <v>77</v>
      </c>
      <c r="C87" s="41" t="n">
        <v>2027</v>
      </c>
      <c r="D87" s="40" t="s">
        <v>46</v>
      </c>
      <c r="E87" s="42"/>
      <c r="F87" s="43" t="n">
        <f aca="false">Reajustes!H10</f>
        <v>2985.18645815002</v>
      </c>
      <c r="G87" s="29"/>
      <c r="H87" s="44" t="n">
        <f aca="false">O86-IF(G87="",0,G87)</f>
        <v>310421.753328163</v>
      </c>
      <c r="I87" s="64"/>
      <c r="J87" s="65"/>
      <c r="K87" s="47"/>
      <c r="L87" s="44" t="n">
        <f aca="false">H87</f>
        <v>310421.753328163</v>
      </c>
      <c r="M87" s="47"/>
      <c r="N87" s="44" t="n">
        <f aca="false">H87</f>
        <v>310421.753328163</v>
      </c>
      <c r="O87" s="44" t="n">
        <f aca="false">H87</f>
        <v>310421.753328163</v>
      </c>
      <c r="P87" s="44" t="n">
        <f aca="false">IF(AND(E87&lt;&gt;"",E87&gt;Vencimentos!D79),F87*0.02,0)</f>
        <v>0</v>
      </c>
      <c r="Q87" s="44" t="n">
        <f aca="false">IF(AND(E87&lt;&gt;"",E87&gt;Vencimentos!D79),F87*0.00033*(E87-Vencimentos!D79),0)</f>
        <v>0</v>
      </c>
      <c r="R87" s="24"/>
      <c r="S87" s="23"/>
    </row>
    <row r="88" customFormat="false" ht="15" hidden="false" customHeight="true" outlineLevel="0" collapsed="false">
      <c r="B88" s="34" t="n">
        <v>78</v>
      </c>
      <c r="C88" s="35" t="n">
        <v>2027</v>
      </c>
      <c r="D88" s="34" t="s">
        <v>47</v>
      </c>
      <c r="E88" s="36"/>
      <c r="F88" s="37" t="n">
        <f aca="false">Reajustes!H10</f>
        <v>2985.18645815002</v>
      </c>
      <c r="G88" s="29"/>
      <c r="H88" s="38" t="n">
        <f aca="false">O87-IF(G88="",0,G88)</f>
        <v>310421.753328163</v>
      </c>
      <c r="I88" s="62"/>
      <c r="J88" s="63"/>
      <c r="K88" s="24"/>
      <c r="L88" s="38" t="n">
        <f aca="false">H88</f>
        <v>310421.753328163</v>
      </c>
      <c r="M88" s="24"/>
      <c r="N88" s="38" t="n">
        <f aca="false">H88</f>
        <v>310421.753328163</v>
      </c>
      <c r="O88" s="38" t="n">
        <f aca="false">H88</f>
        <v>310421.753328163</v>
      </c>
      <c r="P88" s="38" t="n">
        <f aca="false">IF(AND(E88&lt;&gt;"",E88&gt;Vencimentos!D80),F88*0.02,0)</f>
        <v>0</v>
      </c>
      <c r="Q88" s="38" t="n">
        <f aca="false">IF(AND(E88&lt;&gt;"",E88&gt;Vencimentos!D80),F88*0.00033*(E88-Vencimentos!D80),0)</f>
        <v>0</v>
      </c>
      <c r="R88" s="24"/>
      <c r="S88" s="23"/>
    </row>
    <row r="89" customFormat="false" ht="15" hidden="false" customHeight="true" outlineLevel="0" collapsed="false">
      <c r="B89" s="40" t="n">
        <v>79</v>
      </c>
      <c r="C89" s="41" t="n">
        <v>2027</v>
      </c>
      <c r="D89" s="40" t="s">
        <v>48</v>
      </c>
      <c r="E89" s="42"/>
      <c r="F89" s="43" t="n">
        <f aca="false">Reajustes!H10</f>
        <v>2985.18645815002</v>
      </c>
      <c r="G89" s="29"/>
      <c r="H89" s="44" t="n">
        <f aca="false">O88-IF(G89="",0,G89)</f>
        <v>310421.753328163</v>
      </c>
      <c r="I89" s="64"/>
      <c r="J89" s="65"/>
      <c r="K89" s="47"/>
      <c r="L89" s="44" t="n">
        <f aca="false">H89</f>
        <v>310421.753328163</v>
      </c>
      <c r="M89" s="47"/>
      <c r="N89" s="44" t="n">
        <f aca="false">H89</f>
        <v>310421.753328163</v>
      </c>
      <c r="O89" s="44" t="n">
        <f aca="false">H89</f>
        <v>310421.753328163</v>
      </c>
      <c r="P89" s="44" t="n">
        <f aca="false">IF(AND(E89&lt;&gt;"",E89&gt;Vencimentos!D81),F89*0.02,0)</f>
        <v>0</v>
      </c>
      <c r="Q89" s="44" t="n">
        <f aca="false">IF(AND(E89&lt;&gt;"",E89&gt;Vencimentos!D81),F89*0.00033*(E89-Vencimentos!D81),0)</f>
        <v>0</v>
      </c>
      <c r="R89" s="24"/>
      <c r="S89" s="23"/>
    </row>
    <row r="90" customFormat="false" ht="15" hidden="false" customHeight="true" outlineLevel="0" collapsed="false">
      <c r="B90" s="34" t="n">
        <v>80</v>
      </c>
      <c r="C90" s="35" t="n">
        <v>2027</v>
      </c>
      <c r="D90" s="34" t="s">
        <v>49</v>
      </c>
      <c r="E90" s="36"/>
      <c r="F90" s="37" t="n">
        <f aca="false">Reajustes!H10</f>
        <v>2985.18645815002</v>
      </c>
      <c r="G90" s="29"/>
      <c r="H90" s="38" t="n">
        <f aca="false">O89-IF(G90="",0,G90)</f>
        <v>310421.753328163</v>
      </c>
      <c r="I90" s="62"/>
      <c r="J90" s="63"/>
      <c r="K90" s="24"/>
      <c r="L90" s="38" t="n">
        <f aca="false">H90</f>
        <v>310421.753328163</v>
      </c>
      <c r="M90" s="24"/>
      <c r="N90" s="38" t="n">
        <f aca="false">H90</f>
        <v>310421.753328163</v>
      </c>
      <c r="O90" s="38" t="n">
        <f aca="false">H90</f>
        <v>310421.753328163</v>
      </c>
      <c r="P90" s="38" t="n">
        <f aca="false">IF(AND(E90&lt;&gt;"",E90&gt;Vencimentos!D82),F90*0.02,0)</f>
        <v>0</v>
      </c>
      <c r="Q90" s="38" t="n">
        <f aca="false">IF(AND(E90&lt;&gt;"",E90&gt;Vencimentos!D82),F90*0.00033*(E90-Vencimentos!D82),0)</f>
        <v>0</v>
      </c>
      <c r="R90" s="24"/>
      <c r="S90" s="23"/>
    </row>
    <row r="91" customFormat="false" ht="15" hidden="false" customHeight="true" outlineLevel="0" collapsed="false">
      <c r="B91" s="40" t="n">
        <v>81</v>
      </c>
      <c r="C91" s="41" t="n">
        <v>2027</v>
      </c>
      <c r="D91" s="40" t="s">
        <v>50</v>
      </c>
      <c r="E91" s="42"/>
      <c r="F91" s="43" t="n">
        <f aca="false">Reajustes!H10</f>
        <v>2985.18645815002</v>
      </c>
      <c r="G91" s="29"/>
      <c r="H91" s="44" t="n">
        <f aca="false">O90-IF(G91="",0,G91)</f>
        <v>310421.753328163</v>
      </c>
      <c r="I91" s="64"/>
      <c r="J91" s="65"/>
      <c r="K91" s="47"/>
      <c r="L91" s="44" t="n">
        <f aca="false">H91</f>
        <v>310421.753328163</v>
      </c>
      <c r="M91" s="47"/>
      <c r="N91" s="44" t="n">
        <f aca="false">H91</f>
        <v>310421.753328163</v>
      </c>
      <c r="O91" s="44" t="n">
        <f aca="false">H91</f>
        <v>310421.753328163</v>
      </c>
      <c r="P91" s="44" t="n">
        <f aca="false">IF(AND(E91&lt;&gt;"",E91&gt;Vencimentos!D83),F91*0.02,0)</f>
        <v>0</v>
      </c>
      <c r="Q91" s="44" t="n">
        <f aca="false">IF(AND(E91&lt;&gt;"",E91&gt;Vencimentos!D83),F91*0.00033*(E91-Vencimentos!D83),0)</f>
        <v>0</v>
      </c>
      <c r="R91" s="24"/>
      <c r="S91" s="23"/>
    </row>
    <row r="92" customFormat="false" ht="15" hidden="false" customHeight="true" outlineLevel="0" collapsed="false">
      <c r="B92" s="34" t="n">
        <v>82</v>
      </c>
      <c r="C92" s="35" t="n">
        <v>2028</v>
      </c>
      <c r="D92" s="34" t="s">
        <v>51</v>
      </c>
      <c r="E92" s="36"/>
      <c r="F92" s="37" t="n">
        <f aca="false">Reajustes!H10</f>
        <v>2985.18645815002</v>
      </c>
      <c r="G92" s="29"/>
      <c r="H92" s="38" t="n">
        <f aca="false">O91-IF(G92="",0,G92)</f>
        <v>310421.753328163</v>
      </c>
      <c r="I92" s="62"/>
      <c r="J92" s="63"/>
      <c r="K92" s="24"/>
      <c r="L92" s="38" t="n">
        <f aca="false">H92</f>
        <v>310421.753328163</v>
      </c>
      <c r="M92" s="24"/>
      <c r="N92" s="38" t="n">
        <f aca="false">H92</f>
        <v>310421.753328163</v>
      </c>
      <c r="O92" s="38" t="n">
        <f aca="false">H92</f>
        <v>310421.753328163</v>
      </c>
      <c r="P92" s="38" t="n">
        <f aca="false">IF(AND(E92&lt;&gt;"",E92&gt;Vencimentos!D84),F92*0.02,0)</f>
        <v>0</v>
      </c>
      <c r="Q92" s="38" t="n">
        <f aca="false">IF(AND(E92&lt;&gt;"",E92&gt;Vencimentos!D84),F92*0.00033*(E92-Vencimentos!D84),0)</f>
        <v>0</v>
      </c>
      <c r="R92" s="24"/>
      <c r="S92" s="23"/>
    </row>
    <row r="93" customFormat="false" ht="15" hidden="false" customHeight="true" outlineLevel="0" collapsed="false">
      <c r="B93" s="40" t="n">
        <v>83</v>
      </c>
      <c r="C93" s="41" t="n">
        <v>2028</v>
      </c>
      <c r="D93" s="40" t="s">
        <v>52</v>
      </c>
      <c r="E93" s="42"/>
      <c r="F93" s="43" t="n">
        <f aca="false">Reajustes!H10</f>
        <v>2985.18645815002</v>
      </c>
      <c r="G93" s="29"/>
      <c r="H93" s="44" t="n">
        <f aca="false">O92-IF(G93="",0,G93)</f>
        <v>310421.753328163</v>
      </c>
      <c r="I93" s="64"/>
      <c r="J93" s="65"/>
      <c r="K93" s="47"/>
      <c r="L93" s="44" t="n">
        <f aca="false">H93</f>
        <v>310421.753328163</v>
      </c>
      <c r="M93" s="47"/>
      <c r="N93" s="44" t="n">
        <f aca="false">H93</f>
        <v>310421.753328163</v>
      </c>
      <c r="O93" s="44" t="n">
        <f aca="false">H93</f>
        <v>310421.753328163</v>
      </c>
      <c r="P93" s="44" t="n">
        <f aca="false">IF(AND(E93&lt;&gt;"",E93&gt;Vencimentos!D85),F93*0.02,0)</f>
        <v>0</v>
      </c>
      <c r="Q93" s="44" t="n">
        <f aca="false">IF(AND(E93&lt;&gt;"",E93&gt;Vencimentos!D85),F93*0.00033*(E93-Vencimentos!D85),0)</f>
        <v>0</v>
      </c>
      <c r="R93" s="24"/>
      <c r="S93" s="23"/>
    </row>
    <row r="94" customFormat="false" ht="15" hidden="false" customHeight="true" outlineLevel="0" collapsed="false">
      <c r="B94" s="49" t="n">
        <v>84</v>
      </c>
      <c r="C94" s="50" t="n">
        <v>2028</v>
      </c>
      <c r="D94" s="49" t="s">
        <v>41</v>
      </c>
      <c r="E94" s="51"/>
      <c r="F94" s="52" t="n">
        <f aca="false">Reajustes!H10</f>
        <v>2985.18645815002</v>
      </c>
      <c r="G94" s="29"/>
      <c r="H94" s="53" t="n">
        <f aca="false">O93-IF(G94="",0,G94)</f>
        <v>310421.753328163</v>
      </c>
      <c r="I94" s="66"/>
      <c r="J94" s="67"/>
      <c r="K94" s="55" t="n">
        <f aca="false">Reajustes!F10</f>
        <v>0</v>
      </c>
      <c r="L94" s="53" t="n">
        <f aca="false">IF(K94=0,H94,H94*(1+K94))</f>
        <v>310421.753328163</v>
      </c>
      <c r="M94" s="55" t="n">
        <f aca="false">Reajustes!E11</f>
        <v>0.106906226923436</v>
      </c>
      <c r="N94" s="53" t="n">
        <f aca="false">L94*(1+M94)</f>
        <v>343607.771731435</v>
      </c>
      <c r="O94" s="56" t="n">
        <f aca="false">N94</f>
        <v>343607.771731435</v>
      </c>
      <c r="P94" s="53" t="n">
        <f aca="false">IF(AND(E94&lt;&gt;"",E94&gt;Vencimentos!D86),F94*0.02,0)</f>
        <v>0</v>
      </c>
      <c r="Q94" s="53" t="n">
        <f aca="false">IF(AND(E94&lt;&gt;"",E94&gt;Vencimentos!D86),F94*0.00033*(E94-Vencimentos!D86),0)</f>
        <v>0</v>
      </c>
      <c r="R94" s="24"/>
      <c r="S94" s="23"/>
    </row>
    <row r="95" customFormat="false" ht="15" hidden="false" customHeight="true" outlineLevel="0" collapsed="false">
      <c r="B95" s="57" t="n">
        <v>85</v>
      </c>
      <c r="C95" s="58" t="n">
        <v>2028</v>
      </c>
      <c r="D95" s="57" t="s">
        <v>42</v>
      </c>
      <c r="E95" s="27"/>
      <c r="F95" s="28" t="n">
        <f aca="false">Reajustes!H11</f>
        <v>2985.18645815002</v>
      </c>
      <c r="G95" s="29"/>
      <c r="H95" s="30" t="n">
        <f aca="false">O94-IF(G95="",0,G95)</f>
        <v>343607.771731435</v>
      </c>
      <c r="I95" s="60"/>
      <c r="J95" s="61"/>
      <c r="K95" s="33"/>
      <c r="L95" s="30" t="n">
        <f aca="false">H95</f>
        <v>343607.771731435</v>
      </c>
      <c r="M95" s="33"/>
      <c r="N95" s="30" t="n">
        <f aca="false">H95</f>
        <v>343607.771731435</v>
      </c>
      <c r="O95" s="30" t="n">
        <f aca="false">H95</f>
        <v>343607.771731435</v>
      </c>
      <c r="P95" s="30" t="n">
        <f aca="false">IF(AND(E95&lt;&gt;"",E95&gt;Vencimentos!D87),F95*0.02,0)</f>
        <v>0</v>
      </c>
      <c r="Q95" s="30" t="n">
        <f aca="false">IF(AND(E95&lt;&gt;"",E95&gt;Vencimentos!D87),F95*0.00033*(E95-Vencimentos!D87),0)</f>
        <v>0</v>
      </c>
      <c r="R95" s="59" t="n">
        <f aca="false">Reajustes!I27</f>
        <v>87897.797426174</v>
      </c>
      <c r="S95" s="23"/>
    </row>
    <row r="96" customFormat="false" ht="15" hidden="false" customHeight="true" outlineLevel="0" collapsed="false">
      <c r="B96" s="34" t="n">
        <v>86</v>
      </c>
      <c r="C96" s="35" t="n">
        <v>2028</v>
      </c>
      <c r="D96" s="34" t="s">
        <v>43</v>
      </c>
      <c r="E96" s="36"/>
      <c r="F96" s="37" t="n">
        <f aca="false">Reajustes!H11</f>
        <v>2985.18645815002</v>
      </c>
      <c r="G96" s="29"/>
      <c r="H96" s="38" t="n">
        <f aca="false">O95-IF(G96="",0,G96)</f>
        <v>343607.771731435</v>
      </c>
      <c r="I96" s="62"/>
      <c r="J96" s="63"/>
      <c r="K96" s="24"/>
      <c r="L96" s="38" t="n">
        <f aca="false">H96</f>
        <v>343607.771731435</v>
      </c>
      <c r="M96" s="24"/>
      <c r="N96" s="38" t="n">
        <f aca="false">H96</f>
        <v>343607.771731435</v>
      </c>
      <c r="O96" s="38" t="n">
        <f aca="false">H96</f>
        <v>343607.771731435</v>
      </c>
      <c r="P96" s="38" t="n">
        <f aca="false">IF(AND(E96&lt;&gt;"",E96&gt;Vencimentos!D88),F96*0.02,0)</f>
        <v>0</v>
      </c>
      <c r="Q96" s="38" t="n">
        <f aca="false">IF(AND(E96&lt;&gt;"",E96&gt;Vencimentos!D88),F96*0.00033*(E96-Vencimentos!D88),0)</f>
        <v>0</v>
      </c>
      <c r="R96" s="24"/>
      <c r="S96" s="23"/>
    </row>
    <row r="97" customFormat="false" ht="15" hidden="false" customHeight="true" outlineLevel="0" collapsed="false">
      <c r="B97" s="40" t="n">
        <v>87</v>
      </c>
      <c r="C97" s="41" t="n">
        <v>2028</v>
      </c>
      <c r="D97" s="40" t="s">
        <v>44</v>
      </c>
      <c r="E97" s="42"/>
      <c r="F97" s="43" t="n">
        <f aca="false">Reajustes!H11</f>
        <v>2985.18645815002</v>
      </c>
      <c r="G97" s="29"/>
      <c r="H97" s="44" t="n">
        <f aca="false">O96-IF(G97="",0,G97)</f>
        <v>343607.771731435</v>
      </c>
      <c r="I97" s="64"/>
      <c r="J97" s="65"/>
      <c r="K97" s="47"/>
      <c r="L97" s="44" t="n">
        <f aca="false">H97</f>
        <v>343607.771731435</v>
      </c>
      <c r="M97" s="47"/>
      <c r="N97" s="44" t="n">
        <f aca="false">H97</f>
        <v>343607.771731435</v>
      </c>
      <c r="O97" s="44" t="n">
        <f aca="false">H97</f>
        <v>343607.771731435</v>
      </c>
      <c r="P97" s="44" t="n">
        <f aca="false">IF(AND(E97&lt;&gt;"",E97&gt;Vencimentos!D89),F97*0.02,0)</f>
        <v>0</v>
      </c>
      <c r="Q97" s="44" t="n">
        <f aca="false">IF(AND(E97&lt;&gt;"",E97&gt;Vencimentos!D89),F97*0.00033*(E97-Vencimentos!D89),0)</f>
        <v>0</v>
      </c>
      <c r="R97" s="24"/>
      <c r="S97" s="23"/>
    </row>
    <row r="98" customFormat="false" ht="15" hidden="false" customHeight="true" outlineLevel="0" collapsed="false">
      <c r="B98" s="34" t="n">
        <v>88</v>
      </c>
      <c r="C98" s="35" t="n">
        <v>2028</v>
      </c>
      <c r="D98" s="34" t="s">
        <v>45</v>
      </c>
      <c r="E98" s="36"/>
      <c r="F98" s="37" t="n">
        <f aca="false">Reajustes!H11</f>
        <v>2985.18645815002</v>
      </c>
      <c r="G98" s="29"/>
      <c r="H98" s="38" t="n">
        <f aca="false">O97-IF(G98="",0,G98)</f>
        <v>343607.771731435</v>
      </c>
      <c r="I98" s="62"/>
      <c r="J98" s="63"/>
      <c r="K98" s="24"/>
      <c r="L98" s="38" t="n">
        <f aca="false">H98</f>
        <v>343607.771731435</v>
      </c>
      <c r="M98" s="24"/>
      <c r="N98" s="38" t="n">
        <f aca="false">H98</f>
        <v>343607.771731435</v>
      </c>
      <c r="O98" s="38" t="n">
        <f aca="false">H98</f>
        <v>343607.771731435</v>
      </c>
      <c r="P98" s="38" t="n">
        <f aca="false">IF(AND(E98&lt;&gt;"",E98&gt;Vencimentos!D90),F98*0.02,0)</f>
        <v>0</v>
      </c>
      <c r="Q98" s="38" t="n">
        <f aca="false">IF(AND(E98&lt;&gt;"",E98&gt;Vencimentos!D90),F98*0.00033*(E98-Vencimentos!D90),0)</f>
        <v>0</v>
      </c>
      <c r="R98" s="24"/>
      <c r="S98" s="23"/>
    </row>
    <row r="99" customFormat="false" ht="15" hidden="false" customHeight="true" outlineLevel="0" collapsed="false">
      <c r="B99" s="40" t="n">
        <v>89</v>
      </c>
      <c r="C99" s="41" t="n">
        <v>2028</v>
      </c>
      <c r="D99" s="40" t="s">
        <v>46</v>
      </c>
      <c r="E99" s="42"/>
      <c r="F99" s="43" t="n">
        <f aca="false">Reajustes!H11</f>
        <v>2985.18645815002</v>
      </c>
      <c r="G99" s="29"/>
      <c r="H99" s="44" t="n">
        <f aca="false">O98-IF(G99="",0,G99)</f>
        <v>343607.771731435</v>
      </c>
      <c r="I99" s="64"/>
      <c r="J99" s="65"/>
      <c r="K99" s="47"/>
      <c r="L99" s="44" t="n">
        <f aca="false">H99</f>
        <v>343607.771731435</v>
      </c>
      <c r="M99" s="47"/>
      <c r="N99" s="44" t="n">
        <f aca="false">H99</f>
        <v>343607.771731435</v>
      </c>
      <c r="O99" s="44" t="n">
        <f aca="false">H99</f>
        <v>343607.771731435</v>
      </c>
      <c r="P99" s="44" t="n">
        <f aca="false">IF(AND(E99&lt;&gt;"",E99&gt;Vencimentos!D91),F99*0.02,0)</f>
        <v>0</v>
      </c>
      <c r="Q99" s="44" t="n">
        <f aca="false">IF(AND(E99&lt;&gt;"",E99&gt;Vencimentos!D91),F99*0.00033*(E99-Vencimentos!D91),0)</f>
        <v>0</v>
      </c>
      <c r="R99" s="24"/>
      <c r="S99" s="23"/>
    </row>
    <row r="100" customFormat="false" ht="15" hidden="false" customHeight="true" outlineLevel="0" collapsed="false">
      <c r="B100" s="34" t="n">
        <v>90</v>
      </c>
      <c r="C100" s="35" t="n">
        <v>2028</v>
      </c>
      <c r="D100" s="34" t="s">
        <v>47</v>
      </c>
      <c r="E100" s="36"/>
      <c r="F100" s="37" t="n">
        <f aca="false">Reajustes!H11</f>
        <v>2985.18645815002</v>
      </c>
      <c r="G100" s="29"/>
      <c r="H100" s="38" t="n">
        <f aca="false">O99-IF(G100="",0,G100)</f>
        <v>343607.771731435</v>
      </c>
      <c r="I100" s="62"/>
      <c r="J100" s="63"/>
      <c r="K100" s="24"/>
      <c r="L100" s="38" t="n">
        <f aca="false">H100</f>
        <v>343607.771731435</v>
      </c>
      <c r="M100" s="24"/>
      <c r="N100" s="38" t="n">
        <f aca="false">H100</f>
        <v>343607.771731435</v>
      </c>
      <c r="O100" s="38" t="n">
        <f aca="false">H100</f>
        <v>343607.771731435</v>
      </c>
      <c r="P100" s="38" t="n">
        <f aca="false">IF(AND(E100&lt;&gt;"",E100&gt;Vencimentos!D92),F100*0.02,0)</f>
        <v>0</v>
      </c>
      <c r="Q100" s="38" t="n">
        <f aca="false">IF(AND(E100&lt;&gt;"",E100&gt;Vencimentos!D92),F100*0.00033*(E100-Vencimentos!D92),0)</f>
        <v>0</v>
      </c>
      <c r="R100" s="24"/>
      <c r="S100" s="23"/>
    </row>
    <row r="101" customFormat="false" ht="15" hidden="false" customHeight="true" outlineLevel="0" collapsed="false">
      <c r="B101" s="40" t="n">
        <v>91</v>
      </c>
      <c r="C101" s="41" t="n">
        <v>2028</v>
      </c>
      <c r="D101" s="40" t="s">
        <v>48</v>
      </c>
      <c r="E101" s="42"/>
      <c r="F101" s="43" t="n">
        <f aca="false">Reajustes!H11</f>
        <v>2985.18645815002</v>
      </c>
      <c r="G101" s="29"/>
      <c r="H101" s="44" t="n">
        <f aca="false">O100-IF(G101="",0,G101)</f>
        <v>343607.771731435</v>
      </c>
      <c r="I101" s="64"/>
      <c r="J101" s="65"/>
      <c r="K101" s="47"/>
      <c r="L101" s="44" t="n">
        <f aca="false">H101</f>
        <v>343607.771731435</v>
      </c>
      <c r="M101" s="47"/>
      <c r="N101" s="44" t="n">
        <f aca="false">H101</f>
        <v>343607.771731435</v>
      </c>
      <c r="O101" s="44" t="n">
        <f aca="false">H101</f>
        <v>343607.771731435</v>
      </c>
      <c r="P101" s="44" t="n">
        <f aca="false">IF(AND(E101&lt;&gt;"",E101&gt;Vencimentos!D93),F101*0.02,0)</f>
        <v>0</v>
      </c>
      <c r="Q101" s="44" t="n">
        <f aca="false">IF(AND(E101&lt;&gt;"",E101&gt;Vencimentos!D93),F101*0.00033*(E101-Vencimentos!D93),0)</f>
        <v>0</v>
      </c>
      <c r="R101" s="24"/>
      <c r="S101" s="23"/>
    </row>
    <row r="102" customFormat="false" ht="15" hidden="false" customHeight="true" outlineLevel="0" collapsed="false">
      <c r="B102" s="34" t="n">
        <v>92</v>
      </c>
      <c r="C102" s="35" t="n">
        <v>2028</v>
      </c>
      <c r="D102" s="34" t="s">
        <v>49</v>
      </c>
      <c r="E102" s="36"/>
      <c r="F102" s="37" t="n">
        <f aca="false">Reajustes!H11</f>
        <v>2985.18645815002</v>
      </c>
      <c r="G102" s="29"/>
      <c r="H102" s="38" t="n">
        <f aca="false">O101-IF(G102="",0,G102)</f>
        <v>343607.771731435</v>
      </c>
      <c r="I102" s="62"/>
      <c r="J102" s="63"/>
      <c r="K102" s="24"/>
      <c r="L102" s="38" t="n">
        <f aca="false">H102</f>
        <v>343607.771731435</v>
      </c>
      <c r="M102" s="24"/>
      <c r="N102" s="38" t="n">
        <f aca="false">H102</f>
        <v>343607.771731435</v>
      </c>
      <c r="O102" s="38" t="n">
        <f aca="false">H102</f>
        <v>343607.771731435</v>
      </c>
      <c r="P102" s="38" t="n">
        <f aca="false">IF(AND(E102&lt;&gt;"",E102&gt;Vencimentos!D94),F102*0.02,0)</f>
        <v>0</v>
      </c>
      <c r="Q102" s="38" t="n">
        <f aca="false">IF(AND(E102&lt;&gt;"",E102&gt;Vencimentos!D94),F102*0.00033*(E102-Vencimentos!D94),0)</f>
        <v>0</v>
      </c>
      <c r="R102" s="24"/>
      <c r="S102" s="23"/>
    </row>
    <row r="103" customFormat="false" ht="15" hidden="false" customHeight="true" outlineLevel="0" collapsed="false">
      <c r="B103" s="40" t="n">
        <v>93</v>
      </c>
      <c r="C103" s="41" t="n">
        <v>2028</v>
      </c>
      <c r="D103" s="40" t="s">
        <v>50</v>
      </c>
      <c r="E103" s="42"/>
      <c r="F103" s="43" t="n">
        <f aca="false">Reajustes!H11</f>
        <v>2985.18645815002</v>
      </c>
      <c r="G103" s="29"/>
      <c r="H103" s="44" t="n">
        <f aca="false">O102-IF(G103="",0,G103)</f>
        <v>343607.771731435</v>
      </c>
      <c r="I103" s="64"/>
      <c r="J103" s="65"/>
      <c r="K103" s="47"/>
      <c r="L103" s="44" t="n">
        <f aca="false">H103</f>
        <v>343607.771731435</v>
      </c>
      <c r="M103" s="47"/>
      <c r="N103" s="44" t="n">
        <f aca="false">H103</f>
        <v>343607.771731435</v>
      </c>
      <c r="O103" s="44" t="n">
        <f aca="false">H103</f>
        <v>343607.771731435</v>
      </c>
      <c r="P103" s="44" t="n">
        <f aca="false">IF(AND(E103&lt;&gt;"",E103&gt;Vencimentos!D95),F103*0.02,0)</f>
        <v>0</v>
      </c>
      <c r="Q103" s="44" t="n">
        <f aca="false">IF(AND(E103&lt;&gt;"",E103&gt;Vencimentos!D95),F103*0.00033*(E103-Vencimentos!D95),0)</f>
        <v>0</v>
      </c>
      <c r="R103" s="24"/>
      <c r="S103" s="23"/>
    </row>
    <row r="104" customFormat="false" ht="15" hidden="false" customHeight="true" outlineLevel="0" collapsed="false">
      <c r="B104" s="34" t="n">
        <v>94</v>
      </c>
      <c r="C104" s="35" t="n">
        <v>2029</v>
      </c>
      <c r="D104" s="34" t="s">
        <v>51</v>
      </c>
      <c r="E104" s="36"/>
      <c r="F104" s="37" t="n">
        <f aca="false">Reajustes!H11</f>
        <v>2985.18645815002</v>
      </c>
      <c r="G104" s="29"/>
      <c r="H104" s="38" t="n">
        <f aca="false">O103-IF(G104="",0,G104)</f>
        <v>343607.771731435</v>
      </c>
      <c r="I104" s="62"/>
      <c r="J104" s="63"/>
      <c r="K104" s="24"/>
      <c r="L104" s="38" t="n">
        <f aca="false">H104</f>
        <v>343607.771731435</v>
      </c>
      <c r="M104" s="24"/>
      <c r="N104" s="38" t="n">
        <f aca="false">H104</f>
        <v>343607.771731435</v>
      </c>
      <c r="O104" s="38" t="n">
        <f aca="false">H104</f>
        <v>343607.771731435</v>
      </c>
      <c r="P104" s="38" t="n">
        <f aca="false">IF(AND(E104&lt;&gt;"",E104&gt;Vencimentos!D96),F104*0.02,0)</f>
        <v>0</v>
      </c>
      <c r="Q104" s="38" t="n">
        <f aca="false">IF(AND(E104&lt;&gt;"",E104&gt;Vencimentos!D96),F104*0.00033*(E104-Vencimentos!D96),0)</f>
        <v>0</v>
      </c>
      <c r="R104" s="24"/>
      <c r="S104" s="23"/>
    </row>
    <row r="105" customFormat="false" ht="15" hidden="false" customHeight="true" outlineLevel="0" collapsed="false">
      <c r="B105" s="40" t="n">
        <v>95</v>
      </c>
      <c r="C105" s="41" t="n">
        <v>2029</v>
      </c>
      <c r="D105" s="40" t="s">
        <v>52</v>
      </c>
      <c r="E105" s="42"/>
      <c r="F105" s="43" t="n">
        <f aca="false">Reajustes!H11</f>
        <v>2985.18645815002</v>
      </c>
      <c r="G105" s="29"/>
      <c r="H105" s="44" t="n">
        <f aca="false">O104-IF(G105="",0,G105)</f>
        <v>343607.771731435</v>
      </c>
      <c r="I105" s="64"/>
      <c r="J105" s="65"/>
      <c r="K105" s="47"/>
      <c r="L105" s="44" t="n">
        <f aca="false">H105</f>
        <v>343607.771731435</v>
      </c>
      <c r="M105" s="47"/>
      <c r="N105" s="44" t="n">
        <f aca="false">H105</f>
        <v>343607.771731435</v>
      </c>
      <c r="O105" s="44" t="n">
        <f aca="false">H105</f>
        <v>343607.771731435</v>
      </c>
      <c r="P105" s="44" t="n">
        <f aca="false">IF(AND(E105&lt;&gt;"",E105&gt;Vencimentos!D97),F105*0.02,0)</f>
        <v>0</v>
      </c>
      <c r="Q105" s="44" t="n">
        <f aca="false">IF(AND(E105&lt;&gt;"",E105&gt;Vencimentos!D97),F105*0.00033*(E105-Vencimentos!D97),0)</f>
        <v>0</v>
      </c>
      <c r="R105" s="24"/>
      <c r="S105" s="23"/>
    </row>
    <row r="106" customFormat="false" ht="15" hidden="false" customHeight="true" outlineLevel="0" collapsed="false">
      <c r="B106" s="49" t="n">
        <v>96</v>
      </c>
      <c r="C106" s="50" t="n">
        <v>2029</v>
      </c>
      <c r="D106" s="49" t="s">
        <v>41</v>
      </c>
      <c r="E106" s="51"/>
      <c r="F106" s="52" t="n">
        <f aca="false">Reajustes!H11</f>
        <v>2985.18645815002</v>
      </c>
      <c r="G106" s="29"/>
      <c r="H106" s="53" t="n">
        <f aca="false">O105-IF(G106="",0,G106)</f>
        <v>343607.771731435</v>
      </c>
      <c r="I106" s="66"/>
      <c r="J106" s="67"/>
      <c r="K106" s="55" t="n">
        <f aca="false">Reajustes!F11</f>
        <v>0</v>
      </c>
      <c r="L106" s="53" t="n">
        <f aca="false">IF(K106=0,H106,H106*(1+K106))</f>
        <v>343607.771731435</v>
      </c>
      <c r="M106" s="55" t="n">
        <f aca="false">Reajustes!E12</f>
        <v>0.106906226923436</v>
      </c>
      <c r="N106" s="53" t="n">
        <f aca="false">L106*(1+M106)</f>
        <v>380341.582148812</v>
      </c>
      <c r="O106" s="56" t="n">
        <f aca="false">N106</f>
        <v>380341.582148812</v>
      </c>
      <c r="P106" s="53" t="n">
        <f aca="false">IF(AND(E106&lt;&gt;"",E106&gt;Vencimentos!D98),F106*0.02,0)</f>
        <v>0</v>
      </c>
      <c r="Q106" s="53" t="n">
        <f aca="false">IF(AND(E106&lt;&gt;"",E106&gt;Vencimentos!D98),F106*0.00033*(E106-Vencimentos!D98),0)</f>
        <v>0</v>
      </c>
      <c r="R106" s="24"/>
      <c r="S106" s="23"/>
    </row>
    <row r="107" customFormat="false" ht="15" hidden="false" customHeight="true" outlineLevel="0" collapsed="false">
      <c r="B107" s="57" t="n">
        <v>97</v>
      </c>
      <c r="C107" s="58" t="n">
        <v>2029</v>
      </c>
      <c r="D107" s="57" t="s">
        <v>42</v>
      </c>
      <c r="E107" s="27"/>
      <c r="F107" s="28" t="n">
        <f aca="false">Reajustes!H12</f>
        <v>2985.18645815002</v>
      </c>
      <c r="G107" s="29"/>
      <c r="H107" s="30" t="n">
        <f aca="false">O106-IF(G107="",0,G107)</f>
        <v>380341.582148812</v>
      </c>
      <c r="I107" s="60"/>
      <c r="J107" s="61"/>
      <c r="K107" s="33"/>
      <c r="L107" s="30" t="n">
        <f aca="false">H107</f>
        <v>380341.582148812</v>
      </c>
      <c r="M107" s="33"/>
      <c r="N107" s="30" t="n">
        <f aca="false">H107</f>
        <v>380341.582148812</v>
      </c>
      <c r="O107" s="30" t="n">
        <f aca="false">H107</f>
        <v>380341.582148812</v>
      </c>
      <c r="P107" s="30" t="n">
        <f aca="false">IF(AND(E107&lt;&gt;"",E107&gt;Vencimentos!D99),F107*0.02,0)</f>
        <v>0</v>
      </c>
      <c r="Q107" s="30" t="n">
        <f aca="false">IF(AND(E107&lt;&gt;"",E107&gt;Vencimentos!D99),F107*0.00033*(E107-Vencimentos!D99),0)</f>
        <v>0</v>
      </c>
      <c r="R107" s="59" t="n">
        <f aca="false">Reajustes!I28</f>
        <v>97294.6193038868</v>
      </c>
      <c r="S107" s="23"/>
    </row>
    <row r="108" customFormat="false" ht="15" hidden="false" customHeight="true" outlineLevel="0" collapsed="false">
      <c r="B108" s="34" t="n">
        <v>98</v>
      </c>
      <c r="C108" s="35" t="n">
        <v>2029</v>
      </c>
      <c r="D108" s="34" t="s">
        <v>43</v>
      </c>
      <c r="E108" s="36"/>
      <c r="F108" s="37" t="n">
        <f aca="false">Reajustes!H12</f>
        <v>2985.18645815002</v>
      </c>
      <c r="G108" s="29"/>
      <c r="H108" s="38" t="n">
        <f aca="false">O107-IF(G108="",0,G108)</f>
        <v>380341.582148812</v>
      </c>
      <c r="I108" s="62"/>
      <c r="J108" s="63"/>
      <c r="K108" s="24"/>
      <c r="L108" s="38" t="n">
        <f aca="false">H108</f>
        <v>380341.582148812</v>
      </c>
      <c r="M108" s="24"/>
      <c r="N108" s="38" t="n">
        <f aca="false">H108</f>
        <v>380341.582148812</v>
      </c>
      <c r="O108" s="38" t="n">
        <f aca="false">H108</f>
        <v>380341.582148812</v>
      </c>
      <c r="P108" s="38" t="n">
        <f aca="false">IF(AND(E108&lt;&gt;"",E108&gt;Vencimentos!D100),F108*0.02,0)</f>
        <v>0</v>
      </c>
      <c r="Q108" s="38" t="n">
        <f aca="false">IF(AND(E108&lt;&gt;"",E108&gt;Vencimentos!D100),F108*0.00033*(E108-Vencimentos!D100),0)</f>
        <v>0</v>
      </c>
      <c r="R108" s="24"/>
      <c r="S108" s="23"/>
    </row>
    <row r="109" customFormat="false" ht="15" hidden="false" customHeight="true" outlineLevel="0" collapsed="false">
      <c r="B109" s="40" t="n">
        <v>99</v>
      </c>
      <c r="C109" s="41" t="n">
        <v>2029</v>
      </c>
      <c r="D109" s="40" t="s">
        <v>44</v>
      </c>
      <c r="E109" s="42"/>
      <c r="F109" s="43" t="n">
        <f aca="false">Reajustes!H12</f>
        <v>2985.18645815002</v>
      </c>
      <c r="G109" s="29"/>
      <c r="H109" s="44" t="n">
        <f aca="false">O108-IF(G109="",0,G109)</f>
        <v>380341.582148812</v>
      </c>
      <c r="I109" s="64"/>
      <c r="J109" s="65"/>
      <c r="K109" s="47"/>
      <c r="L109" s="44" t="n">
        <f aca="false">H109</f>
        <v>380341.582148812</v>
      </c>
      <c r="M109" s="47"/>
      <c r="N109" s="44" t="n">
        <f aca="false">H109</f>
        <v>380341.582148812</v>
      </c>
      <c r="O109" s="44" t="n">
        <f aca="false">H109</f>
        <v>380341.582148812</v>
      </c>
      <c r="P109" s="44" t="n">
        <f aca="false">IF(AND(E109&lt;&gt;"",E109&gt;Vencimentos!D101),F109*0.02,0)</f>
        <v>0</v>
      </c>
      <c r="Q109" s="44" t="n">
        <f aca="false">IF(AND(E109&lt;&gt;"",E109&gt;Vencimentos!D101),F109*0.00033*(E109-Vencimentos!D101),0)</f>
        <v>0</v>
      </c>
      <c r="R109" s="24"/>
      <c r="S109" s="23"/>
    </row>
    <row r="110" customFormat="false" ht="15" hidden="false" customHeight="true" outlineLevel="0" collapsed="false">
      <c r="B110" s="34" t="n">
        <v>100</v>
      </c>
      <c r="C110" s="35" t="n">
        <v>2029</v>
      </c>
      <c r="D110" s="34" t="s">
        <v>45</v>
      </c>
      <c r="E110" s="36"/>
      <c r="F110" s="37" t="n">
        <f aca="false">Reajustes!H12</f>
        <v>2985.18645815002</v>
      </c>
      <c r="G110" s="29"/>
      <c r="H110" s="38" t="n">
        <f aca="false">O109-IF(G110="",0,G110)</f>
        <v>380341.582148812</v>
      </c>
      <c r="I110" s="62"/>
      <c r="J110" s="63"/>
      <c r="K110" s="24"/>
      <c r="L110" s="38" t="n">
        <f aca="false">H110</f>
        <v>380341.582148812</v>
      </c>
      <c r="M110" s="24"/>
      <c r="N110" s="38" t="n">
        <f aca="false">H110</f>
        <v>380341.582148812</v>
      </c>
      <c r="O110" s="38" t="n">
        <f aca="false">H110</f>
        <v>380341.582148812</v>
      </c>
      <c r="P110" s="38" t="n">
        <f aca="false">IF(AND(E110&lt;&gt;"",E110&gt;Vencimentos!D102),F110*0.02,0)</f>
        <v>0</v>
      </c>
      <c r="Q110" s="38" t="n">
        <f aca="false">IF(AND(E110&lt;&gt;"",E110&gt;Vencimentos!D102),F110*0.00033*(E110-Vencimentos!D102),0)</f>
        <v>0</v>
      </c>
      <c r="R110" s="24"/>
      <c r="S110" s="23"/>
    </row>
    <row r="111" customFormat="false" ht="15" hidden="false" customHeight="true" outlineLevel="0" collapsed="false">
      <c r="B111" s="40" t="n">
        <v>101</v>
      </c>
      <c r="C111" s="41" t="n">
        <v>2029</v>
      </c>
      <c r="D111" s="40" t="s">
        <v>46</v>
      </c>
      <c r="E111" s="42"/>
      <c r="F111" s="43" t="n">
        <f aca="false">Reajustes!H12</f>
        <v>2985.18645815002</v>
      </c>
      <c r="G111" s="29"/>
      <c r="H111" s="44" t="n">
        <f aca="false">O110-IF(G111="",0,G111)</f>
        <v>380341.582148812</v>
      </c>
      <c r="I111" s="64"/>
      <c r="J111" s="65"/>
      <c r="K111" s="47"/>
      <c r="L111" s="44" t="n">
        <f aca="false">H111</f>
        <v>380341.582148812</v>
      </c>
      <c r="M111" s="47"/>
      <c r="N111" s="44" t="n">
        <f aca="false">H111</f>
        <v>380341.582148812</v>
      </c>
      <c r="O111" s="44" t="n">
        <f aca="false">H111</f>
        <v>380341.582148812</v>
      </c>
      <c r="P111" s="44" t="n">
        <f aca="false">IF(AND(E111&lt;&gt;"",E111&gt;Vencimentos!D103),F111*0.02,0)</f>
        <v>0</v>
      </c>
      <c r="Q111" s="44" t="n">
        <f aca="false">IF(AND(E111&lt;&gt;"",E111&gt;Vencimentos!D103),F111*0.00033*(E111-Vencimentos!D103),0)</f>
        <v>0</v>
      </c>
      <c r="R111" s="24"/>
      <c r="S111" s="23"/>
    </row>
    <row r="112" customFormat="false" ht="15" hidden="false" customHeight="true" outlineLevel="0" collapsed="false">
      <c r="B112" s="34" t="n">
        <v>102</v>
      </c>
      <c r="C112" s="35" t="n">
        <v>2029</v>
      </c>
      <c r="D112" s="34" t="s">
        <v>47</v>
      </c>
      <c r="E112" s="36"/>
      <c r="F112" s="37" t="n">
        <f aca="false">Reajustes!H12</f>
        <v>2985.18645815002</v>
      </c>
      <c r="G112" s="29"/>
      <c r="H112" s="38" t="n">
        <f aca="false">O111-IF(G112="",0,G112)</f>
        <v>380341.582148812</v>
      </c>
      <c r="I112" s="62"/>
      <c r="J112" s="63"/>
      <c r="K112" s="24"/>
      <c r="L112" s="38" t="n">
        <f aca="false">H112</f>
        <v>380341.582148812</v>
      </c>
      <c r="M112" s="24"/>
      <c r="N112" s="38" t="n">
        <f aca="false">H112</f>
        <v>380341.582148812</v>
      </c>
      <c r="O112" s="38" t="n">
        <f aca="false">H112</f>
        <v>380341.582148812</v>
      </c>
      <c r="P112" s="38" t="n">
        <f aca="false">IF(AND(E112&lt;&gt;"",E112&gt;Vencimentos!D104),F112*0.02,0)</f>
        <v>0</v>
      </c>
      <c r="Q112" s="38" t="n">
        <f aca="false">IF(AND(E112&lt;&gt;"",E112&gt;Vencimentos!D104),F112*0.00033*(E112-Vencimentos!D104),0)</f>
        <v>0</v>
      </c>
      <c r="R112" s="24"/>
      <c r="S112" s="23"/>
    </row>
    <row r="113" customFormat="false" ht="15" hidden="false" customHeight="true" outlineLevel="0" collapsed="false">
      <c r="B113" s="40" t="n">
        <v>103</v>
      </c>
      <c r="C113" s="41" t="n">
        <v>2029</v>
      </c>
      <c r="D113" s="40" t="s">
        <v>48</v>
      </c>
      <c r="E113" s="42"/>
      <c r="F113" s="43" t="n">
        <f aca="false">Reajustes!H12</f>
        <v>2985.18645815002</v>
      </c>
      <c r="G113" s="29"/>
      <c r="H113" s="44" t="n">
        <f aca="false">O112-IF(G113="",0,G113)</f>
        <v>380341.582148812</v>
      </c>
      <c r="I113" s="64"/>
      <c r="J113" s="65"/>
      <c r="K113" s="47"/>
      <c r="L113" s="44" t="n">
        <f aca="false">H113</f>
        <v>380341.582148812</v>
      </c>
      <c r="M113" s="47"/>
      <c r="N113" s="44" t="n">
        <f aca="false">H113</f>
        <v>380341.582148812</v>
      </c>
      <c r="O113" s="44" t="n">
        <f aca="false">H113</f>
        <v>380341.582148812</v>
      </c>
      <c r="P113" s="44" t="n">
        <f aca="false">IF(AND(E113&lt;&gt;"",E113&gt;Vencimentos!D105),F113*0.02,0)</f>
        <v>0</v>
      </c>
      <c r="Q113" s="44" t="n">
        <f aca="false">IF(AND(E113&lt;&gt;"",E113&gt;Vencimentos!D105),F113*0.00033*(E113-Vencimentos!D105),0)</f>
        <v>0</v>
      </c>
      <c r="R113" s="24"/>
      <c r="S113" s="23"/>
    </row>
    <row r="114" customFormat="false" ht="15" hidden="false" customHeight="true" outlineLevel="0" collapsed="false">
      <c r="B114" s="34" t="n">
        <v>104</v>
      </c>
      <c r="C114" s="35" t="n">
        <v>2029</v>
      </c>
      <c r="D114" s="34" t="s">
        <v>49</v>
      </c>
      <c r="E114" s="36"/>
      <c r="F114" s="37" t="n">
        <f aca="false">Reajustes!H12</f>
        <v>2985.18645815002</v>
      </c>
      <c r="G114" s="29"/>
      <c r="H114" s="38" t="n">
        <f aca="false">O113-IF(G114="",0,G114)</f>
        <v>380341.582148812</v>
      </c>
      <c r="I114" s="62"/>
      <c r="J114" s="63"/>
      <c r="K114" s="24"/>
      <c r="L114" s="38" t="n">
        <f aca="false">H114</f>
        <v>380341.582148812</v>
      </c>
      <c r="M114" s="24"/>
      <c r="N114" s="38" t="n">
        <f aca="false">H114</f>
        <v>380341.582148812</v>
      </c>
      <c r="O114" s="38" t="n">
        <f aca="false">H114</f>
        <v>380341.582148812</v>
      </c>
      <c r="P114" s="38" t="n">
        <f aca="false">IF(AND(E114&lt;&gt;"",E114&gt;Vencimentos!D106),F114*0.02,0)</f>
        <v>0</v>
      </c>
      <c r="Q114" s="38" t="n">
        <f aca="false">IF(AND(E114&lt;&gt;"",E114&gt;Vencimentos!D106),F114*0.00033*(E114-Vencimentos!D106),0)</f>
        <v>0</v>
      </c>
      <c r="R114" s="24"/>
      <c r="S114" s="23"/>
    </row>
    <row r="115" customFormat="false" ht="15" hidden="false" customHeight="true" outlineLevel="0" collapsed="false">
      <c r="B115" s="40" t="n">
        <v>105</v>
      </c>
      <c r="C115" s="41" t="n">
        <v>2029</v>
      </c>
      <c r="D115" s="40" t="s">
        <v>50</v>
      </c>
      <c r="E115" s="42"/>
      <c r="F115" s="43" t="n">
        <f aca="false">Reajustes!H12</f>
        <v>2985.18645815002</v>
      </c>
      <c r="G115" s="29"/>
      <c r="H115" s="44" t="n">
        <f aca="false">O114-IF(G115="",0,G115)</f>
        <v>380341.582148812</v>
      </c>
      <c r="I115" s="64"/>
      <c r="J115" s="65"/>
      <c r="K115" s="47"/>
      <c r="L115" s="44" t="n">
        <f aca="false">H115</f>
        <v>380341.582148812</v>
      </c>
      <c r="M115" s="47"/>
      <c r="N115" s="44" t="n">
        <f aca="false">H115</f>
        <v>380341.582148812</v>
      </c>
      <c r="O115" s="44" t="n">
        <f aca="false">H115</f>
        <v>380341.582148812</v>
      </c>
      <c r="P115" s="44" t="n">
        <f aca="false">IF(AND(E115&lt;&gt;"",E115&gt;Vencimentos!D107),F115*0.02,0)</f>
        <v>0</v>
      </c>
      <c r="Q115" s="44" t="n">
        <f aca="false">IF(AND(E115&lt;&gt;"",E115&gt;Vencimentos!D107),F115*0.00033*(E115-Vencimentos!D107),0)</f>
        <v>0</v>
      </c>
      <c r="R115" s="24"/>
      <c r="S115" s="23"/>
    </row>
    <row r="116" customFormat="false" ht="15" hidden="false" customHeight="true" outlineLevel="0" collapsed="false">
      <c r="B116" s="34" t="n">
        <v>106</v>
      </c>
      <c r="C116" s="35" t="n">
        <v>2030</v>
      </c>
      <c r="D116" s="34" t="s">
        <v>51</v>
      </c>
      <c r="E116" s="36"/>
      <c r="F116" s="37" t="n">
        <f aca="false">Reajustes!H12</f>
        <v>2985.18645815002</v>
      </c>
      <c r="G116" s="29"/>
      <c r="H116" s="38" t="n">
        <f aca="false">O115-IF(G116="",0,G116)</f>
        <v>380341.582148812</v>
      </c>
      <c r="I116" s="62"/>
      <c r="J116" s="63"/>
      <c r="K116" s="24"/>
      <c r="L116" s="38" t="n">
        <f aca="false">H116</f>
        <v>380341.582148812</v>
      </c>
      <c r="M116" s="24"/>
      <c r="N116" s="38" t="n">
        <f aca="false">H116</f>
        <v>380341.582148812</v>
      </c>
      <c r="O116" s="38" t="n">
        <f aca="false">H116</f>
        <v>380341.582148812</v>
      </c>
      <c r="P116" s="38" t="n">
        <f aca="false">IF(AND(E116&lt;&gt;"",E116&gt;Vencimentos!D108),F116*0.02,0)</f>
        <v>0</v>
      </c>
      <c r="Q116" s="38" t="n">
        <f aca="false">IF(AND(E116&lt;&gt;"",E116&gt;Vencimentos!D108),F116*0.00033*(E116-Vencimentos!D108),0)</f>
        <v>0</v>
      </c>
      <c r="R116" s="24"/>
      <c r="S116" s="23"/>
    </row>
    <row r="117" customFormat="false" ht="15" hidden="false" customHeight="true" outlineLevel="0" collapsed="false">
      <c r="B117" s="40" t="n">
        <v>107</v>
      </c>
      <c r="C117" s="41" t="n">
        <v>2030</v>
      </c>
      <c r="D117" s="40" t="s">
        <v>52</v>
      </c>
      <c r="E117" s="42"/>
      <c r="F117" s="43" t="n">
        <f aca="false">Reajustes!H12</f>
        <v>2985.18645815002</v>
      </c>
      <c r="G117" s="29"/>
      <c r="H117" s="44" t="n">
        <f aca="false">O116-IF(G117="",0,G117)</f>
        <v>380341.582148812</v>
      </c>
      <c r="I117" s="64"/>
      <c r="J117" s="65"/>
      <c r="K117" s="47"/>
      <c r="L117" s="44" t="n">
        <f aca="false">H117</f>
        <v>380341.582148812</v>
      </c>
      <c r="M117" s="47"/>
      <c r="N117" s="44" t="n">
        <f aca="false">H117</f>
        <v>380341.582148812</v>
      </c>
      <c r="O117" s="44" t="n">
        <f aca="false">H117</f>
        <v>380341.582148812</v>
      </c>
      <c r="P117" s="44" t="n">
        <f aca="false">IF(AND(E117&lt;&gt;"",E117&gt;Vencimentos!D109),F117*0.02,0)</f>
        <v>0</v>
      </c>
      <c r="Q117" s="44" t="n">
        <f aca="false">IF(AND(E117&lt;&gt;"",E117&gt;Vencimentos!D109),F117*0.00033*(E117-Vencimentos!D109),0)</f>
        <v>0</v>
      </c>
      <c r="R117" s="24"/>
      <c r="S117" s="23"/>
    </row>
    <row r="118" customFormat="false" ht="15" hidden="false" customHeight="true" outlineLevel="0" collapsed="false">
      <c r="B118" s="49" t="n">
        <v>108</v>
      </c>
      <c r="C118" s="50" t="n">
        <v>2030</v>
      </c>
      <c r="D118" s="49" t="s">
        <v>41</v>
      </c>
      <c r="E118" s="51"/>
      <c r="F118" s="52" t="n">
        <f aca="false">Reajustes!H12</f>
        <v>2985.18645815002</v>
      </c>
      <c r="G118" s="29"/>
      <c r="H118" s="53" t="n">
        <f aca="false">O117-IF(G118="",0,G118)</f>
        <v>380341.582148812</v>
      </c>
      <c r="I118" s="66"/>
      <c r="J118" s="67"/>
      <c r="K118" s="55" t="n">
        <f aca="false">Reajustes!F12</f>
        <v>0</v>
      </c>
      <c r="L118" s="53" t="n">
        <f aca="false">IF(K118=0,H118,H118*(1+K118))</f>
        <v>380341.582148812</v>
      </c>
      <c r="M118" s="55" t="n">
        <f aca="false">Reajustes!E13</f>
        <v>0.106906226923436</v>
      </c>
      <c r="N118" s="53" t="n">
        <f aca="false">L118*(1+M118)</f>
        <v>421002.465638432</v>
      </c>
      <c r="O118" s="56" t="n">
        <f aca="false">N118</f>
        <v>421002.465638432</v>
      </c>
      <c r="P118" s="53" t="n">
        <f aca="false">IF(AND(E118&lt;&gt;"",E118&gt;Vencimentos!D110),F118*0.02,0)</f>
        <v>0</v>
      </c>
      <c r="Q118" s="53" t="n">
        <f aca="false">IF(AND(E118&lt;&gt;"",E118&gt;Vencimentos!D110),F118*0.00033*(E118-Vencimentos!D110),0)</f>
        <v>0</v>
      </c>
      <c r="R118" s="24"/>
      <c r="S118" s="23"/>
    </row>
    <row r="119" customFormat="false" ht="15" hidden="false" customHeight="true" outlineLevel="0" collapsed="false">
      <c r="B119" s="57" t="n">
        <v>109</v>
      </c>
      <c r="C119" s="58" t="n">
        <v>2030</v>
      </c>
      <c r="D119" s="57" t="s">
        <v>42</v>
      </c>
      <c r="E119" s="27"/>
      <c r="F119" s="28" t="n">
        <f aca="false">Reajustes!H13</f>
        <v>2985.18645815002</v>
      </c>
      <c r="G119" s="29"/>
      <c r="H119" s="30" t="n">
        <f aca="false">O118-IF(G119="",0,G119)</f>
        <v>421002.465638432</v>
      </c>
      <c r="I119" s="60"/>
      <c r="J119" s="61"/>
      <c r="K119" s="33"/>
      <c r="L119" s="30" t="n">
        <f aca="false">H119</f>
        <v>421002.465638432</v>
      </c>
      <c r="M119" s="33"/>
      <c r="N119" s="30" t="n">
        <f aca="false">H119</f>
        <v>421002.465638432</v>
      </c>
      <c r="O119" s="30" t="n">
        <f aca="false">H119</f>
        <v>421002.465638432</v>
      </c>
      <c r="P119" s="30" t="n">
        <f aca="false">IF(AND(E119&lt;&gt;"",E119&gt;Vencimentos!D111),F119*0.02,0)</f>
        <v>0</v>
      </c>
      <c r="Q119" s="30" t="n">
        <f aca="false">IF(AND(E119&lt;&gt;"",E119&gt;Vencimentos!D111),F119*0.00033*(E119-Vencimentos!D111),0)</f>
        <v>0</v>
      </c>
      <c r="R119" s="59" t="n">
        <f aca="false">Reajustes!I29</f>
        <v>107696.019953617</v>
      </c>
      <c r="S119" s="23"/>
    </row>
    <row r="120" customFormat="false" ht="15" hidden="false" customHeight="true" outlineLevel="0" collapsed="false">
      <c r="B120" s="34" t="n">
        <v>110</v>
      </c>
      <c r="C120" s="35" t="n">
        <v>2030</v>
      </c>
      <c r="D120" s="34" t="s">
        <v>43</v>
      </c>
      <c r="E120" s="36"/>
      <c r="F120" s="37" t="n">
        <f aca="false">Reajustes!H13</f>
        <v>2985.18645815002</v>
      </c>
      <c r="G120" s="29"/>
      <c r="H120" s="38" t="n">
        <f aca="false">O119-IF(G120="",0,G120)</f>
        <v>421002.465638432</v>
      </c>
      <c r="I120" s="62"/>
      <c r="J120" s="63"/>
      <c r="K120" s="24"/>
      <c r="L120" s="38" t="n">
        <f aca="false">H120</f>
        <v>421002.465638432</v>
      </c>
      <c r="M120" s="24"/>
      <c r="N120" s="38" t="n">
        <f aca="false">H120</f>
        <v>421002.465638432</v>
      </c>
      <c r="O120" s="38" t="n">
        <f aca="false">H120</f>
        <v>421002.465638432</v>
      </c>
      <c r="P120" s="38" t="n">
        <f aca="false">IF(AND(E120&lt;&gt;"",E120&gt;Vencimentos!D112),F120*0.02,0)</f>
        <v>0</v>
      </c>
      <c r="Q120" s="38" t="n">
        <f aca="false">IF(AND(E120&lt;&gt;"",E120&gt;Vencimentos!D112),F120*0.00033*(E120-Vencimentos!D112),0)</f>
        <v>0</v>
      </c>
      <c r="R120" s="24"/>
      <c r="S120" s="23"/>
    </row>
    <row r="121" customFormat="false" ht="15" hidden="false" customHeight="true" outlineLevel="0" collapsed="false">
      <c r="B121" s="40" t="n">
        <v>111</v>
      </c>
      <c r="C121" s="41" t="n">
        <v>2030</v>
      </c>
      <c r="D121" s="40" t="s">
        <v>44</v>
      </c>
      <c r="E121" s="42"/>
      <c r="F121" s="43" t="n">
        <f aca="false">Reajustes!H13</f>
        <v>2985.18645815002</v>
      </c>
      <c r="G121" s="29"/>
      <c r="H121" s="44" t="n">
        <f aca="false">O120-IF(G121="",0,G121)</f>
        <v>421002.465638432</v>
      </c>
      <c r="I121" s="64"/>
      <c r="J121" s="65"/>
      <c r="K121" s="47"/>
      <c r="L121" s="44" t="n">
        <f aca="false">H121</f>
        <v>421002.465638432</v>
      </c>
      <c r="M121" s="47"/>
      <c r="N121" s="44" t="n">
        <f aca="false">H121</f>
        <v>421002.465638432</v>
      </c>
      <c r="O121" s="44" t="n">
        <f aca="false">H121</f>
        <v>421002.465638432</v>
      </c>
      <c r="P121" s="44" t="n">
        <f aca="false">IF(AND(E121&lt;&gt;"",E121&gt;Vencimentos!D113),F121*0.02,0)</f>
        <v>0</v>
      </c>
      <c r="Q121" s="44" t="n">
        <f aca="false">IF(AND(E121&lt;&gt;"",E121&gt;Vencimentos!D113),F121*0.00033*(E121-Vencimentos!D113),0)</f>
        <v>0</v>
      </c>
      <c r="R121" s="24"/>
      <c r="S121" s="23"/>
    </row>
    <row r="122" customFormat="false" ht="15" hidden="false" customHeight="true" outlineLevel="0" collapsed="false">
      <c r="B122" s="34" t="n">
        <v>112</v>
      </c>
      <c r="C122" s="35" t="n">
        <v>2030</v>
      </c>
      <c r="D122" s="34" t="s">
        <v>45</v>
      </c>
      <c r="E122" s="36"/>
      <c r="F122" s="37" t="n">
        <f aca="false">Reajustes!H13</f>
        <v>2985.18645815002</v>
      </c>
      <c r="G122" s="29"/>
      <c r="H122" s="38" t="n">
        <f aca="false">O121-IF(G122="",0,G122)</f>
        <v>421002.465638432</v>
      </c>
      <c r="I122" s="62"/>
      <c r="J122" s="63"/>
      <c r="K122" s="24"/>
      <c r="L122" s="38" t="n">
        <f aca="false">H122</f>
        <v>421002.465638432</v>
      </c>
      <c r="M122" s="24"/>
      <c r="N122" s="38" t="n">
        <f aca="false">H122</f>
        <v>421002.465638432</v>
      </c>
      <c r="O122" s="38" t="n">
        <f aca="false">H122</f>
        <v>421002.465638432</v>
      </c>
      <c r="P122" s="38" t="n">
        <f aca="false">IF(AND(E122&lt;&gt;"",E122&gt;Vencimentos!D114),F122*0.02,0)</f>
        <v>0</v>
      </c>
      <c r="Q122" s="38" t="n">
        <f aca="false">IF(AND(E122&lt;&gt;"",E122&gt;Vencimentos!D114),F122*0.00033*(E122-Vencimentos!D114),0)</f>
        <v>0</v>
      </c>
      <c r="R122" s="24"/>
      <c r="S122" s="23"/>
    </row>
    <row r="123" customFormat="false" ht="15" hidden="false" customHeight="true" outlineLevel="0" collapsed="false">
      <c r="B123" s="40" t="n">
        <v>113</v>
      </c>
      <c r="C123" s="41" t="n">
        <v>2030</v>
      </c>
      <c r="D123" s="40" t="s">
        <v>46</v>
      </c>
      <c r="E123" s="42"/>
      <c r="F123" s="43" t="n">
        <f aca="false">Reajustes!H13</f>
        <v>2985.18645815002</v>
      </c>
      <c r="G123" s="29"/>
      <c r="H123" s="44" t="n">
        <f aca="false">O122-IF(G123="",0,G123)</f>
        <v>421002.465638432</v>
      </c>
      <c r="I123" s="64"/>
      <c r="J123" s="65"/>
      <c r="K123" s="47"/>
      <c r="L123" s="44" t="n">
        <f aca="false">H123</f>
        <v>421002.465638432</v>
      </c>
      <c r="M123" s="47"/>
      <c r="N123" s="44" t="n">
        <f aca="false">H123</f>
        <v>421002.465638432</v>
      </c>
      <c r="O123" s="44" t="n">
        <f aca="false">H123</f>
        <v>421002.465638432</v>
      </c>
      <c r="P123" s="44" t="n">
        <f aca="false">IF(AND(E123&lt;&gt;"",E123&gt;Vencimentos!D115),F123*0.02,0)</f>
        <v>0</v>
      </c>
      <c r="Q123" s="44" t="n">
        <f aca="false">IF(AND(E123&lt;&gt;"",E123&gt;Vencimentos!D115),F123*0.00033*(E123-Vencimentos!D115),0)</f>
        <v>0</v>
      </c>
      <c r="R123" s="24"/>
      <c r="S123" s="23"/>
    </row>
    <row r="124" customFormat="false" ht="15" hidden="false" customHeight="true" outlineLevel="0" collapsed="false">
      <c r="B124" s="34" t="n">
        <v>114</v>
      </c>
      <c r="C124" s="35" t="n">
        <v>2030</v>
      </c>
      <c r="D124" s="34" t="s">
        <v>47</v>
      </c>
      <c r="E124" s="36"/>
      <c r="F124" s="37" t="n">
        <f aca="false">Reajustes!H13</f>
        <v>2985.18645815002</v>
      </c>
      <c r="G124" s="29"/>
      <c r="H124" s="38" t="n">
        <f aca="false">O123-IF(G124="",0,G124)</f>
        <v>421002.465638432</v>
      </c>
      <c r="I124" s="62"/>
      <c r="J124" s="63"/>
      <c r="K124" s="24"/>
      <c r="L124" s="38" t="n">
        <f aca="false">H124</f>
        <v>421002.465638432</v>
      </c>
      <c r="M124" s="24"/>
      <c r="N124" s="38" t="n">
        <f aca="false">H124</f>
        <v>421002.465638432</v>
      </c>
      <c r="O124" s="38" t="n">
        <f aca="false">H124</f>
        <v>421002.465638432</v>
      </c>
      <c r="P124" s="38" t="n">
        <f aca="false">IF(AND(E124&lt;&gt;"",E124&gt;Vencimentos!D116),F124*0.02,0)</f>
        <v>0</v>
      </c>
      <c r="Q124" s="38" t="n">
        <f aca="false">IF(AND(E124&lt;&gt;"",E124&gt;Vencimentos!D116),F124*0.00033*(E124-Vencimentos!D116),0)</f>
        <v>0</v>
      </c>
      <c r="R124" s="24"/>
      <c r="S124" s="23"/>
    </row>
    <row r="125" customFormat="false" ht="15" hidden="false" customHeight="true" outlineLevel="0" collapsed="false">
      <c r="B125" s="40" t="n">
        <v>115</v>
      </c>
      <c r="C125" s="41" t="n">
        <v>2030</v>
      </c>
      <c r="D125" s="40" t="s">
        <v>48</v>
      </c>
      <c r="E125" s="42"/>
      <c r="F125" s="43" t="n">
        <f aca="false">Reajustes!H13</f>
        <v>2985.18645815002</v>
      </c>
      <c r="G125" s="29"/>
      <c r="H125" s="44" t="n">
        <f aca="false">O124-IF(G125="",0,G125)</f>
        <v>421002.465638432</v>
      </c>
      <c r="I125" s="64"/>
      <c r="J125" s="65"/>
      <c r="K125" s="47"/>
      <c r="L125" s="44" t="n">
        <f aca="false">H125</f>
        <v>421002.465638432</v>
      </c>
      <c r="M125" s="47"/>
      <c r="N125" s="44" t="n">
        <f aca="false">H125</f>
        <v>421002.465638432</v>
      </c>
      <c r="O125" s="44" t="n">
        <f aca="false">H125</f>
        <v>421002.465638432</v>
      </c>
      <c r="P125" s="44" t="n">
        <f aca="false">IF(AND(E125&lt;&gt;"",E125&gt;Vencimentos!D117),F125*0.02,0)</f>
        <v>0</v>
      </c>
      <c r="Q125" s="44" t="n">
        <f aca="false">IF(AND(E125&lt;&gt;"",E125&gt;Vencimentos!D117),F125*0.00033*(E125-Vencimentos!D117),0)</f>
        <v>0</v>
      </c>
      <c r="R125" s="24"/>
      <c r="S125" s="23"/>
    </row>
    <row r="126" customFormat="false" ht="15" hidden="false" customHeight="true" outlineLevel="0" collapsed="false">
      <c r="B126" s="34" t="n">
        <v>116</v>
      </c>
      <c r="C126" s="35" t="n">
        <v>2030</v>
      </c>
      <c r="D126" s="34" t="s">
        <v>49</v>
      </c>
      <c r="E126" s="36"/>
      <c r="F126" s="37" t="n">
        <f aca="false">Reajustes!H13</f>
        <v>2985.18645815002</v>
      </c>
      <c r="G126" s="29"/>
      <c r="H126" s="38" t="n">
        <f aca="false">O125-IF(G126="",0,G126)</f>
        <v>421002.465638432</v>
      </c>
      <c r="I126" s="62"/>
      <c r="J126" s="63"/>
      <c r="K126" s="24"/>
      <c r="L126" s="38" t="n">
        <f aca="false">H126</f>
        <v>421002.465638432</v>
      </c>
      <c r="M126" s="24"/>
      <c r="N126" s="38" t="n">
        <f aca="false">H126</f>
        <v>421002.465638432</v>
      </c>
      <c r="O126" s="38" t="n">
        <f aca="false">H126</f>
        <v>421002.465638432</v>
      </c>
      <c r="P126" s="38" t="n">
        <f aca="false">IF(AND(E126&lt;&gt;"",E126&gt;Vencimentos!D118),F126*0.02,0)</f>
        <v>0</v>
      </c>
      <c r="Q126" s="38" t="n">
        <f aca="false">IF(AND(E126&lt;&gt;"",E126&gt;Vencimentos!D118),F126*0.00033*(E126-Vencimentos!D118),0)</f>
        <v>0</v>
      </c>
      <c r="R126" s="24"/>
      <c r="S126" s="23"/>
    </row>
    <row r="127" customFormat="false" ht="15" hidden="false" customHeight="true" outlineLevel="0" collapsed="false">
      <c r="B127" s="40" t="n">
        <v>117</v>
      </c>
      <c r="C127" s="41" t="n">
        <v>2030</v>
      </c>
      <c r="D127" s="40" t="s">
        <v>50</v>
      </c>
      <c r="E127" s="42"/>
      <c r="F127" s="43" t="n">
        <f aca="false">Reajustes!H13</f>
        <v>2985.18645815002</v>
      </c>
      <c r="G127" s="29"/>
      <c r="H127" s="44" t="n">
        <f aca="false">O126-IF(G127="",0,G127)</f>
        <v>421002.465638432</v>
      </c>
      <c r="I127" s="64"/>
      <c r="J127" s="65"/>
      <c r="K127" s="47"/>
      <c r="L127" s="44" t="n">
        <f aca="false">H127</f>
        <v>421002.465638432</v>
      </c>
      <c r="M127" s="47"/>
      <c r="N127" s="44" t="n">
        <f aca="false">H127</f>
        <v>421002.465638432</v>
      </c>
      <c r="O127" s="44" t="n">
        <f aca="false">H127</f>
        <v>421002.465638432</v>
      </c>
      <c r="P127" s="44" t="n">
        <f aca="false">IF(AND(E127&lt;&gt;"",E127&gt;Vencimentos!D119),F127*0.02,0)</f>
        <v>0</v>
      </c>
      <c r="Q127" s="44" t="n">
        <f aca="false">IF(AND(E127&lt;&gt;"",E127&gt;Vencimentos!D119),F127*0.00033*(E127-Vencimentos!D119),0)</f>
        <v>0</v>
      </c>
      <c r="R127" s="24"/>
      <c r="S127" s="23"/>
    </row>
    <row r="128" customFormat="false" ht="15" hidden="false" customHeight="true" outlineLevel="0" collapsed="false">
      <c r="B128" s="34" t="n">
        <v>118</v>
      </c>
      <c r="C128" s="35" t="n">
        <v>2031</v>
      </c>
      <c r="D128" s="34" t="s">
        <v>51</v>
      </c>
      <c r="E128" s="36"/>
      <c r="F128" s="37" t="n">
        <f aca="false">Reajustes!H13</f>
        <v>2985.18645815002</v>
      </c>
      <c r="G128" s="29"/>
      <c r="H128" s="38" t="n">
        <f aca="false">O127-IF(G128="",0,G128)</f>
        <v>421002.465638432</v>
      </c>
      <c r="I128" s="62"/>
      <c r="J128" s="63"/>
      <c r="K128" s="24"/>
      <c r="L128" s="38" t="n">
        <f aca="false">H128</f>
        <v>421002.465638432</v>
      </c>
      <c r="M128" s="24"/>
      <c r="N128" s="38" t="n">
        <f aca="false">H128</f>
        <v>421002.465638432</v>
      </c>
      <c r="O128" s="38" t="n">
        <f aca="false">H128</f>
        <v>421002.465638432</v>
      </c>
      <c r="P128" s="38" t="n">
        <f aca="false">IF(AND(E128&lt;&gt;"",E128&gt;Vencimentos!D120),F128*0.02,0)</f>
        <v>0</v>
      </c>
      <c r="Q128" s="38" t="n">
        <f aca="false">IF(AND(E128&lt;&gt;"",E128&gt;Vencimentos!D120),F128*0.00033*(E128-Vencimentos!D120),0)</f>
        <v>0</v>
      </c>
      <c r="R128" s="24"/>
      <c r="S128" s="23"/>
    </row>
    <row r="129" customFormat="false" ht="15" hidden="false" customHeight="true" outlineLevel="0" collapsed="false">
      <c r="B129" s="40" t="n">
        <v>119</v>
      </c>
      <c r="C129" s="41" t="n">
        <v>2031</v>
      </c>
      <c r="D129" s="40" t="s">
        <v>52</v>
      </c>
      <c r="E129" s="42"/>
      <c r="F129" s="43" t="n">
        <f aca="false">Reajustes!H13</f>
        <v>2985.18645815002</v>
      </c>
      <c r="G129" s="29"/>
      <c r="H129" s="44" t="n">
        <f aca="false">O128-IF(G129="",0,G129)</f>
        <v>421002.465638432</v>
      </c>
      <c r="I129" s="64"/>
      <c r="J129" s="65"/>
      <c r="K129" s="47"/>
      <c r="L129" s="44" t="n">
        <f aca="false">H129</f>
        <v>421002.465638432</v>
      </c>
      <c r="M129" s="47"/>
      <c r="N129" s="44" t="n">
        <f aca="false">H129</f>
        <v>421002.465638432</v>
      </c>
      <c r="O129" s="44" t="n">
        <f aca="false">H129</f>
        <v>421002.465638432</v>
      </c>
      <c r="P129" s="44" t="n">
        <f aca="false">IF(AND(E129&lt;&gt;"",E129&gt;Vencimentos!D121),F129*0.02,0)</f>
        <v>0</v>
      </c>
      <c r="Q129" s="44" t="n">
        <f aca="false">IF(AND(E129&lt;&gt;"",E129&gt;Vencimentos!D121),F129*0.00033*(E129-Vencimentos!D121),0)</f>
        <v>0</v>
      </c>
      <c r="R129" s="24"/>
      <c r="S129" s="23"/>
    </row>
    <row r="130" customFormat="false" ht="15" hidden="false" customHeight="true" outlineLevel="0" collapsed="false">
      <c r="B130" s="34" t="n">
        <v>120</v>
      </c>
      <c r="C130" s="35" t="n">
        <v>2031</v>
      </c>
      <c r="D130" s="34" t="s">
        <v>41</v>
      </c>
      <c r="E130" s="36"/>
      <c r="F130" s="37" t="n">
        <f aca="false">Reajustes!H13</f>
        <v>2985.18645815002</v>
      </c>
      <c r="G130" s="29"/>
      <c r="H130" s="38" t="n">
        <f aca="false">O129-IF(G130="",0,G130)</f>
        <v>421002.465638432</v>
      </c>
      <c r="I130" s="62"/>
      <c r="J130" s="63"/>
      <c r="K130" s="24"/>
      <c r="L130" s="38" t="n">
        <f aca="false">H130</f>
        <v>421002.465638432</v>
      </c>
      <c r="M130" s="24"/>
      <c r="N130" s="38" t="n">
        <f aca="false">H130</f>
        <v>421002.465638432</v>
      </c>
      <c r="O130" s="38" t="n">
        <f aca="false">H130</f>
        <v>421002.465638432</v>
      </c>
      <c r="P130" s="38" t="n">
        <f aca="false">IF(AND(E130&lt;&gt;"",E130&gt;Vencimentos!D122),F130*0.02,0)</f>
        <v>0</v>
      </c>
      <c r="Q130" s="38" t="n">
        <f aca="false">IF(AND(E130&lt;&gt;"",E130&gt;Vencimentos!D122),F130*0.00033*(E130-Vencimentos!D122),0)</f>
        <v>0</v>
      </c>
      <c r="R130" s="24"/>
      <c r="S130" s="23"/>
    </row>
    <row r="131" customFormat="false" ht="15" hidden="false" customHeight="true" outlineLevel="0" collapsed="false">
      <c r="B131" s="57" t="s">
        <v>53</v>
      </c>
      <c r="C131" s="68" t="n">
        <v>2031</v>
      </c>
      <c r="D131" s="57" t="s">
        <v>42</v>
      </c>
      <c r="E131" s="69"/>
      <c r="F131" s="70"/>
      <c r="G131" s="29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59" t="n">
        <f aca="false">Reajustes!I30</f>
        <v>119209.39510153</v>
      </c>
      <c r="S131" s="23"/>
    </row>
    <row r="132" customFormat="false" ht="23.25" hidden="false" customHeight="true" outlineLevel="0" collapsed="false">
      <c r="B132" s="72" t="s">
        <v>54</v>
      </c>
      <c r="C132" s="73"/>
      <c r="D132" s="73"/>
      <c r="E132" s="73"/>
      <c r="F132" s="74" t="n">
        <f aca="false">SUM(F11:F130)</f>
        <v>296125.659911569</v>
      </c>
      <c r="G132" s="74" t="n">
        <f aca="false">SUM(G11:G131)</f>
        <v>40312.73</v>
      </c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5" t="n">
        <f aca="false">R131</f>
        <v>119209.39510153</v>
      </c>
      <c r="S132" s="76" t="n">
        <f aca="false">SUM(S11:S131)</f>
        <v>10000</v>
      </c>
    </row>
    <row r="133" customFormat="false" ht="15" hidden="false" customHeight="true" outlineLevel="0" collapsed="false">
      <c r="E133" s="77" t="s">
        <v>55</v>
      </c>
      <c r="F133" s="78" t="n">
        <f aca="false">F132+R132</f>
        <v>415335.055013098</v>
      </c>
      <c r="G133" s="79" t="n">
        <f aca="false">G132+S132</f>
        <v>50312.73</v>
      </c>
    </row>
    <row r="134" customFormat="false" ht="15" hidden="false" customHeight="true" outlineLevel="0" collapsed="false">
      <c r="B134" s="80" t="s">
        <v>56</v>
      </c>
      <c r="C134" s="81" t="s">
        <v>57</v>
      </c>
    </row>
    <row r="135" customFormat="false" ht="15" hidden="false" customHeight="true" outlineLevel="0" collapsed="false">
      <c r="B135" s="82" t="s">
        <v>58</v>
      </c>
      <c r="C135" s="83" t="s">
        <v>59</v>
      </c>
    </row>
    <row r="136" customFormat="false" ht="15" hidden="false" customHeight="true" outlineLevel="0" collapsed="false">
      <c r="C136" s="84" t="s">
        <v>60</v>
      </c>
    </row>
    <row r="137" customFormat="false" ht="15" hidden="false" customHeight="true" outlineLevel="0" collapsed="false">
      <c r="C137" s="84" t="s">
        <v>61</v>
      </c>
    </row>
    <row r="138" customFormat="false" ht="15" hidden="false" customHeight="true" outlineLevel="0" collapsed="false">
      <c r="C138" s="84" t="s">
        <v>62</v>
      </c>
    </row>
    <row r="139" customFormat="false" ht="15" hidden="false" customHeight="true" outlineLevel="0" collapsed="false">
      <c r="C139" s="84" t="s">
        <v>63</v>
      </c>
    </row>
    <row r="140" customFormat="false" ht="15" hidden="false" customHeight="true" outlineLevel="0" collapsed="false">
      <c r="C140" s="84" t="s">
        <v>64</v>
      </c>
    </row>
    <row r="141" customFormat="false" ht="15" hidden="false" customHeight="true" outlineLevel="0" collapsed="false">
      <c r="C141" s="84" t="s">
        <v>65</v>
      </c>
    </row>
    <row r="142" customFormat="false" ht="15" hidden="false" customHeight="true" outlineLevel="0" collapsed="false">
      <c r="C142" s="84" t="s">
        <v>66</v>
      </c>
    </row>
  </sheetData>
  <mergeCells count="8">
    <mergeCell ref="B1:Q1"/>
    <mergeCell ref="B3:Q3"/>
    <mergeCell ref="B7:Q7"/>
    <mergeCell ref="B8:D8"/>
    <mergeCell ref="F8:G8"/>
    <mergeCell ref="I8:J8"/>
    <mergeCell ref="K8:N8"/>
    <mergeCell ref="P8:Q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5"/>
    <col collapsed="false" customWidth="true" hidden="false" outlineLevel="0" max="5" min="4" style="1" width="16"/>
  </cols>
  <sheetData>
    <row r="1" customFormat="false" ht="20.25" hidden="false" customHeight="true" outlineLevel="0" collapsed="false">
      <c r="A1" s="85" t="s">
        <v>67</v>
      </c>
      <c r="B1" s="85"/>
      <c r="C1" s="85"/>
      <c r="D1" s="85"/>
      <c r="E1" s="85"/>
    </row>
    <row r="2" customFormat="false" ht="15" hidden="false" customHeight="true" outlineLevel="0" collapsed="false">
      <c r="A2" s="86" t="s">
        <v>68</v>
      </c>
    </row>
    <row r="3" customFormat="false" ht="21.75" hidden="false" customHeight="true" outlineLevel="0" collapsed="false">
      <c r="A3" s="14" t="s">
        <v>23</v>
      </c>
      <c r="B3" s="14" t="s">
        <v>24</v>
      </c>
      <c r="C3" s="14" t="s">
        <v>69</v>
      </c>
      <c r="D3" s="14" t="s">
        <v>70</v>
      </c>
      <c r="E3" s="14" t="s">
        <v>71</v>
      </c>
    </row>
    <row r="4" customFormat="false" ht="15" hidden="false" customHeight="true" outlineLevel="0" collapsed="false">
      <c r="A4" s="87" t="n">
        <v>2021</v>
      </c>
      <c r="B4" s="88" t="s">
        <v>41</v>
      </c>
      <c r="C4" s="89" t="n">
        <v>5674.72</v>
      </c>
      <c r="D4" s="90"/>
      <c r="E4" s="90" t="n">
        <v>0</v>
      </c>
    </row>
    <row r="5" customFormat="false" ht="15" hidden="false" customHeight="true" outlineLevel="0" collapsed="false">
      <c r="A5" s="35" t="n">
        <v>2021</v>
      </c>
      <c r="B5" s="34" t="s">
        <v>42</v>
      </c>
      <c r="C5" s="91" t="n">
        <v>5692.31</v>
      </c>
      <c r="D5" s="92" t="n">
        <f aca="false">(C5-C4)/C4</f>
        <v>0.00309971240871799</v>
      </c>
      <c r="E5" s="92" t="n">
        <f aca="false">C5/C$4-1</f>
        <v>0.00309971240871798</v>
      </c>
    </row>
    <row r="6" customFormat="false" ht="15" hidden="false" customHeight="true" outlineLevel="0" collapsed="false">
      <c r="A6" s="41" t="n">
        <v>2021</v>
      </c>
      <c r="B6" s="40" t="s">
        <v>43</v>
      </c>
      <c r="C6" s="93" t="n">
        <v>5739.56</v>
      </c>
      <c r="D6" s="94" t="n">
        <f aca="false">(C6-C5)/C5</f>
        <v>0.00830067231053825</v>
      </c>
      <c r="E6" s="94" t="n">
        <f aca="false">C6/C$4-1</f>
        <v>0.011426114416218</v>
      </c>
    </row>
    <row r="7" customFormat="false" ht="15" hidden="false" customHeight="true" outlineLevel="0" collapsed="false">
      <c r="A7" s="35" t="n">
        <v>2021</v>
      </c>
      <c r="B7" s="34" t="s">
        <v>44</v>
      </c>
      <c r="C7" s="91" t="n">
        <v>5769.98</v>
      </c>
      <c r="D7" s="92" t="n">
        <f aca="false">(C7-C6)/C6</f>
        <v>0.00530005784415516</v>
      </c>
      <c r="E7" s="92" t="n">
        <f aca="false">C7/C$4-1</f>
        <v>0.016786731327713</v>
      </c>
    </row>
    <row r="8" customFormat="false" ht="15" hidden="false" customHeight="true" outlineLevel="0" collapsed="false">
      <c r="A8" s="41" t="n">
        <v>2021</v>
      </c>
      <c r="B8" s="40" t="s">
        <v>45</v>
      </c>
      <c r="C8" s="93" t="n">
        <v>5825.37</v>
      </c>
      <c r="D8" s="94" t="n">
        <f aca="false">(C8-C7)/C7</f>
        <v>0.00959968665402659</v>
      </c>
      <c r="E8" s="94" t="n">
        <f aca="false">C8/C$4-1</f>
        <v>0.026547565342431</v>
      </c>
    </row>
    <row r="9" customFormat="false" ht="15" hidden="false" customHeight="true" outlineLevel="0" collapsed="false">
      <c r="A9" s="35" t="n">
        <v>2021</v>
      </c>
      <c r="B9" s="34" t="s">
        <v>46</v>
      </c>
      <c r="C9" s="91" t="n">
        <v>5876.05</v>
      </c>
      <c r="D9" s="92" t="n">
        <f aca="false">(C9-C8)/C8</f>
        <v>0.00869987657436357</v>
      </c>
      <c r="E9" s="92" t="n">
        <f aca="false">C9/C$4-1</f>
        <v>0.0354784024586234</v>
      </c>
    </row>
    <row r="10" customFormat="false" ht="15" hidden="false" customHeight="true" outlineLevel="0" collapsed="false">
      <c r="A10" s="41" t="n">
        <v>2021</v>
      </c>
      <c r="B10" s="40" t="s">
        <v>47</v>
      </c>
      <c r="C10" s="93" t="n">
        <v>5944.21</v>
      </c>
      <c r="D10" s="94" t="n">
        <f aca="false">(C10-C9)/C9</f>
        <v>0.0115996290024761</v>
      </c>
      <c r="E10" s="94" t="n">
        <f aca="false">C10/C$4-1</f>
        <v>0.0474895677672202</v>
      </c>
    </row>
    <row r="11" customFormat="false" ht="15" hidden="false" customHeight="true" outlineLevel="0" collapsed="false">
      <c r="A11" s="35" t="n">
        <v>2021</v>
      </c>
      <c r="B11" s="34" t="s">
        <v>48</v>
      </c>
      <c r="C11" s="91" t="n">
        <v>6018.51</v>
      </c>
      <c r="D11" s="92" t="n">
        <f aca="false">(C11-C10)/C10</f>
        <v>0.0124995583937984</v>
      </c>
      <c r="E11" s="92" t="n">
        <f aca="false">C11/C$4-1</f>
        <v>0.0605827247864212</v>
      </c>
    </row>
    <row r="12" customFormat="false" ht="15" hidden="false" customHeight="true" outlineLevel="0" collapsed="false">
      <c r="A12" s="41" t="n">
        <v>2021</v>
      </c>
      <c r="B12" s="40" t="s">
        <v>49</v>
      </c>
      <c r="C12" s="93" t="n">
        <v>6075.69</v>
      </c>
      <c r="D12" s="94" t="n">
        <f aca="false">(C12-C11)/C11</f>
        <v>0.00950069037020781</v>
      </c>
      <c r="E12" s="94" t="n">
        <f aca="false">C12/C$4-1</f>
        <v>0.0706589928666084</v>
      </c>
    </row>
    <row r="13" customFormat="false" ht="15" hidden="false" customHeight="true" outlineLevel="0" collapsed="false">
      <c r="A13" s="35" t="n">
        <v>2021</v>
      </c>
      <c r="B13" s="34" t="s">
        <v>50</v>
      </c>
      <c r="C13" s="91" t="n">
        <v>6120.04</v>
      </c>
      <c r="D13" s="92" t="n">
        <f aca="false">(C13-C12)/C12</f>
        <v>0.00729958243425856</v>
      </c>
      <c r="E13" s="92" t="n">
        <f aca="false">C13/C$4-1</f>
        <v>0.0784743564440182</v>
      </c>
    </row>
    <row r="14" customFormat="false" ht="15" hidden="false" customHeight="true" outlineLevel="0" collapsed="false">
      <c r="A14" s="41" t="n">
        <v>2022</v>
      </c>
      <c r="B14" s="40" t="s">
        <v>51</v>
      </c>
      <c r="C14" s="93" t="n">
        <v>6153.09</v>
      </c>
      <c r="D14" s="94" t="n">
        <f aca="false">(C14-C13)/C13</f>
        <v>0.00540029150136277</v>
      </c>
      <c r="E14" s="94" t="n">
        <f aca="false">C14/C$4-1</f>
        <v>0.0842984323455607</v>
      </c>
    </row>
    <row r="15" customFormat="false" ht="15" hidden="false" customHeight="true" outlineLevel="0" collapsed="false">
      <c r="A15" s="35" t="n">
        <v>2022</v>
      </c>
      <c r="B15" s="34" t="s">
        <v>52</v>
      </c>
      <c r="C15" s="91" t="n">
        <v>6215.24</v>
      </c>
      <c r="D15" s="92" t="n">
        <f aca="false">(C15-C14)/C14</f>
        <v>0.0101006161132049</v>
      </c>
      <c r="E15" s="92" t="n">
        <f aca="false">C15/C$4-1</f>
        <v>0.0952505145628331</v>
      </c>
    </row>
    <row r="16" customFormat="false" ht="15" hidden="false" customHeight="true" outlineLevel="0" collapsed="false">
      <c r="A16" s="87" t="n">
        <v>2022</v>
      </c>
      <c r="B16" s="88" t="s">
        <v>41</v>
      </c>
      <c r="C16" s="89" t="n">
        <v>6315.93</v>
      </c>
      <c r="D16" s="90" t="n">
        <f aca="false">(C16-C15)/C15</f>
        <v>0.0162005007047195</v>
      </c>
      <c r="E16" s="90" t="n">
        <f aca="false">C16/C$4-1</f>
        <v>0.112994121295853</v>
      </c>
    </row>
    <row r="17" customFormat="false" ht="15" hidden="false" customHeight="true" outlineLevel="0" collapsed="false">
      <c r="A17" s="35" t="n">
        <v>2022</v>
      </c>
      <c r="B17" s="34" t="s">
        <v>42</v>
      </c>
      <c r="C17" s="91" t="n">
        <v>6382.88</v>
      </c>
      <c r="D17" s="92" t="n">
        <f aca="false">(C17-C16)/C16</f>
        <v>0.0106001808126436</v>
      </c>
      <c r="E17" s="92" t="n">
        <f aca="false">C17/C$4-1</f>
        <v>0.124792060224998</v>
      </c>
    </row>
    <row r="18" customFormat="false" ht="15" hidden="false" customHeight="true" outlineLevel="0" collapsed="false">
      <c r="A18" s="41" t="n">
        <v>2022</v>
      </c>
      <c r="B18" s="40" t="s">
        <v>43</v>
      </c>
      <c r="C18" s="93" t="n">
        <v>6412.88</v>
      </c>
      <c r="D18" s="94" t="n">
        <f aca="false">(C18-C17)/C17</f>
        <v>0.00470007269445767</v>
      </c>
      <c r="E18" s="94" t="n">
        <f aca="false">C18/C$4-1</f>
        <v>0.130078664674204</v>
      </c>
    </row>
    <row r="19" customFormat="false" ht="15" hidden="false" customHeight="true" outlineLevel="0" collapsed="false">
      <c r="A19" s="35" t="n">
        <v>2022</v>
      </c>
      <c r="B19" s="34" t="s">
        <v>44</v>
      </c>
      <c r="C19" s="91" t="n">
        <v>6455.85</v>
      </c>
      <c r="D19" s="92" t="n">
        <f aca="false">(C19-C18)/C18</f>
        <v>0.00670057758760499</v>
      </c>
      <c r="E19" s="92" t="n">
        <f aca="false">C19/C$4-1</f>
        <v>0.137650844446951</v>
      </c>
    </row>
    <row r="20" customFormat="false" ht="15" hidden="false" customHeight="true" outlineLevel="0" collapsed="false">
      <c r="A20" s="41" t="n">
        <v>2022</v>
      </c>
      <c r="B20" s="40" t="s">
        <v>45</v>
      </c>
      <c r="C20" s="93" t="n">
        <v>6411.95</v>
      </c>
      <c r="D20" s="94" t="n">
        <f aca="false">(C20-C19)/C19</f>
        <v>-0.00680003407761961</v>
      </c>
      <c r="E20" s="94" t="n">
        <f aca="false">C20/C$4-1</f>
        <v>0.129914779936279</v>
      </c>
    </row>
    <row r="21" customFormat="false" ht="15" hidden="false" customHeight="true" outlineLevel="0" collapsed="false">
      <c r="A21" s="35" t="n">
        <v>2022</v>
      </c>
      <c r="B21" s="34" t="s">
        <v>46</v>
      </c>
      <c r="C21" s="91" t="n">
        <v>6388.87</v>
      </c>
      <c r="D21" s="92" t="n">
        <f aca="false">(C21-C20)/C20</f>
        <v>-0.00359952900443702</v>
      </c>
      <c r="E21" s="92" t="n">
        <f aca="false">C21/C$4-1</f>
        <v>0.125847618913356</v>
      </c>
    </row>
    <row r="22" customFormat="false" ht="15" hidden="false" customHeight="true" outlineLevel="0" collapsed="false">
      <c r="A22" s="41" t="n">
        <v>2022</v>
      </c>
      <c r="B22" s="40" t="s">
        <v>47</v>
      </c>
      <c r="C22" s="93" t="n">
        <v>6370.34</v>
      </c>
      <c r="D22" s="94" t="n">
        <f aca="false">(C22-C21)/C21</f>
        <v>-0.00290035640105367</v>
      </c>
      <c r="E22" s="94" t="n">
        <f aca="false">C22/C$4-1</f>
        <v>0.12258225956523</v>
      </c>
    </row>
    <row r="23" customFormat="false" ht="15" hidden="false" customHeight="true" outlineLevel="0" collapsed="false">
      <c r="A23" s="35" t="n">
        <v>2022</v>
      </c>
      <c r="B23" s="34" t="s">
        <v>48</v>
      </c>
      <c r="C23" s="91" t="n">
        <v>6407.93</v>
      </c>
      <c r="D23" s="92" t="n">
        <f aca="false">(C23-C22)/C22</f>
        <v>0.0059007839455979</v>
      </c>
      <c r="E23" s="92" t="n">
        <f aca="false">C23/C$4-1</f>
        <v>0.129206374940085</v>
      </c>
    </row>
    <row r="24" customFormat="false" ht="15" hidden="false" customHeight="true" outlineLevel="0" collapsed="false">
      <c r="A24" s="41" t="n">
        <v>2022</v>
      </c>
      <c r="B24" s="40" t="s">
        <v>49</v>
      </c>
      <c r="C24" s="93" t="n">
        <v>6434.2</v>
      </c>
      <c r="D24" s="94" t="n">
        <f aca="false">(C24-C23)/C23</f>
        <v>0.00409960782967347</v>
      </c>
      <c r="E24" s="94" t="n">
        <f aca="false">C24/C$4-1</f>
        <v>0.133835678236107</v>
      </c>
    </row>
    <row r="25" customFormat="false" ht="15" hidden="false" customHeight="true" outlineLevel="0" collapsed="false">
      <c r="A25" s="35" t="n">
        <v>2022</v>
      </c>
      <c r="B25" s="34" t="s">
        <v>50</v>
      </c>
      <c r="C25" s="91" t="n">
        <v>6474.09</v>
      </c>
      <c r="D25" s="92" t="n">
        <f aca="false">(C25-C24)/C24</f>
        <v>0.00619968294426663</v>
      </c>
      <c r="E25" s="92" t="n">
        <f aca="false">C25/C$4-1</f>
        <v>0.140865099952068</v>
      </c>
    </row>
    <row r="26" customFormat="false" ht="15" hidden="false" customHeight="true" outlineLevel="0" collapsed="false">
      <c r="A26" s="41" t="n">
        <v>2023</v>
      </c>
      <c r="B26" s="40" t="s">
        <v>51</v>
      </c>
      <c r="C26" s="93" t="n">
        <v>6508.4</v>
      </c>
      <c r="D26" s="94" t="n">
        <f aca="false">(C26-C25)/C25</f>
        <v>0.00529958650559376</v>
      </c>
      <c r="E26" s="94" t="n">
        <f aca="false">C26/C$4-1</f>
        <v>0.146911213240477</v>
      </c>
    </row>
    <row r="27" customFormat="false" ht="15" hidden="false" customHeight="true" outlineLevel="0" collapsed="false">
      <c r="A27" s="35" t="n">
        <v>2023</v>
      </c>
      <c r="B27" s="34" t="s">
        <v>52</v>
      </c>
      <c r="C27" s="91" t="n">
        <v>6563.07</v>
      </c>
      <c r="D27" s="92" t="n">
        <f aca="false">(C27-C26)/C26</f>
        <v>0.00839991395734744</v>
      </c>
      <c r="E27" s="92" t="n">
        <f aca="false">C27/C$4-1</f>
        <v>0.156545168748414</v>
      </c>
    </row>
    <row r="28" customFormat="false" ht="15" hidden="false" customHeight="true" outlineLevel="0" collapsed="false">
      <c r="A28" s="87" t="n">
        <v>2023</v>
      </c>
      <c r="B28" s="88" t="s">
        <v>41</v>
      </c>
      <c r="C28" s="89" t="n">
        <v>6609.67</v>
      </c>
      <c r="D28" s="90" t="n">
        <f aca="false">(C28-C27)/C27</f>
        <v>0.00710033566608315</v>
      </c>
      <c r="E28" s="90" t="n">
        <f aca="false">C28/C$4-1</f>
        <v>0.164757027659515</v>
      </c>
    </row>
    <row r="29" customFormat="false" ht="15" hidden="false" customHeight="true" outlineLevel="0" collapsed="false">
      <c r="A29" s="35" t="n">
        <v>2023</v>
      </c>
      <c r="B29" s="34" t="s">
        <v>42</v>
      </c>
      <c r="C29" s="91" t="n">
        <v>6649.99</v>
      </c>
      <c r="D29" s="92" t="n">
        <f aca="false">(C29-C28)/C28</f>
        <v>0.00610015326029888</v>
      </c>
      <c r="E29" s="92" t="n">
        <f aca="false">C29/C$4-1</f>
        <v>0.171862224039248</v>
      </c>
    </row>
    <row r="30" customFormat="false" ht="15" hidden="false" customHeight="true" outlineLevel="0" collapsed="false">
      <c r="A30" s="41" t="n">
        <v>2023</v>
      </c>
      <c r="B30" s="40" t="s">
        <v>43</v>
      </c>
      <c r="C30" s="93" t="n">
        <v>6665.28</v>
      </c>
      <c r="D30" s="94" t="n">
        <f aca="false">(C30-C29)/C29</f>
        <v>0.00229925157782192</v>
      </c>
      <c r="E30" s="94" t="n">
        <f aca="false">C30/C$4-1</f>
        <v>0.17455663010686</v>
      </c>
    </row>
    <row r="31" customFormat="false" ht="15" hidden="false" customHeight="true" outlineLevel="0" collapsed="false">
      <c r="A31" s="35" t="n">
        <v>2023</v>
      </c>
      <c r="B31" s="34" t="s">
        <v>44</v>
      </c>
      <c r="C31" s="91" t="n">
        <v>6659.95</v>
      </c>
      <c r="D31" s="92" t="n">
        <f aca="false">(C31-C30)/C30</f>
        <v>-0.000799666330596753</v>
      </c>
      <c r="E31" s="92" t="n">
        <f aca="false">C31/C$4-1</f>
        <v>0.173617376716384</v>
      </c>
    </row>
    <row r="32" customFormat="false" ht="15" hidden="false" customHeight="true" outlineLevel="0" collapsed="false">
      <c r="A32" s="41" t="n">
        <v>2023</v>
      </c>
      <c r="B32" s="40" t="s">
        <v>45</v>
      </c>
      <c r="C32" s="93" t="n">
        <v>6667.94</v>
      </c>
      <c r="D32" s="94" t="n">
        <f aca="false">(C32-C31)/C31</f>
        <v>0.00119970870652179</v>
      </c>
      <c r="E32" s="94" t="n">
        <f aca="false">C32/C$4-1</f>
        <v>0.175025375701356</v>
      </c>
    </row>
    <row r="33" customFormat="false" ht="15" hidden="false" customHeight="true" outlineLevel="0" collapsed="false">
      <c r="A33" s="35" t="n">
        <v>2023</v>
      </c>
      <c r="B33" s="34" t="s">
        <v>46</v>
      </c>
      <c r="C33" s="91" t="n">
        <v>6683.28</v>
      </c>
      <c r="D33" s="92" t="n">
        <f aca="false">(C33-C32)/C32</f>
        <v>0.00230056059292677</v>
      </c>
      <c r="E33" s="92" t="n">
        <f aca="false">C33/C$4-1</f>
        <v>0.177728592776384</v>
      </c>
    </row>
    <row r="34" customFormat="false" ht="15" hidden="false" customHeight="true" outlineLevel="0" collapsed="false">
      <c r="A34" s="41" t="n">
        <v>2023</v>
      </c>
      <c r="B34" s="40" t="s">
        <v>47</v>
      </c>
      <c r="C34" s="93" t="n">
        <v>6700.66</v>
      </c>
      <c r="D34" s="94" t="n">
        <f aca="false">(C34-C33)/C33</f>
        <v>0.00260051950539258</v>
      </c>
      <c r="E34" s="94" t="n">
        <f aca="false">C34/C$4-1</f>
        <v>0.180791298953957</v>
      </c>
    </row>
    <row r="35" customFormat="false" ht="15" hidden="false" customHeight="true" outlineLevel="0" collapsed="false">
      <c r="A35" s="35" t="n">
        <v>2023</v>
      </c>
      <c r="B35" s="34" t="s">
        <v>48</v>
      </c>
      <c r="C35" s="91" t="n">
        <v>6716.74</v>
      </c>
      <c r="D35" s="92" t="n">
        <f aca="false">(C35-C34)/C34</f>
        <v>0.00239976360537618</v>
      </c>
      <c r="E35" s="92" t="n">
        <f aca="false">C35/C$4-1</f>
        <v>0.183624918938732</v>
      </c>
    </row>
    <row r="36" customFormat="false" ht="15" hidden="false" customHeight="true" outlineLevel="0" collapsed="false">
      <c r="A36" s="41" t="n">
        <v>2023</v>
      </c>
      <c r="B36" s="40" t="s">
        <v>49</v>
      </c>
      <c r="C36" s="93" t="n">
        <v>6735.55</v>
      </c>
      <c r="D36" s="94" t="n">
        <f aca="false">(C36-C35)/C35</f>
        <v>0.0028004657021115</v>
      </c>
      <c r="E36" s="94" t="n">
        <f aca="false">C36/C$4-1</f>
        <v>0.186939619928384</v>
      </c>
    </row>
    <row r="37" customFormat="false" ht="15" hidden="false" customHeight="true" outlineLevel="0" collapsed="false">
      <c r="A37" s="35" t="n">
        <v>2023</v>
      </c>
      <c r="B37" s="34" t="s">
        <v>50</v>
      </c>
      <c r="C37" s="91" t="n">
        <v>6773.27</v>
      </c>
      <c r="D37" s="92" t="n">
        <f aca="false">(C37-C36)/C36</f>
        <v>0.00560013658869732</v>
      </c>
      <c r="E37" s="92" t="n">
        <f aca="false">C37/C$4-1</f>
        <v>0.19358664392252</v>
      </c>
    </row>
    <row r="38" customFormat="false" ht="15" hidden="false" customHeight="true" outlineLevel="0" collapsed="false">
      <c r="A38" s="41" t="n">
        <v>2024</v>
      </c>
      <c r="B38" s="40" t="s">
        <v>51</v>
      </c>
      <c r="C38" s="93" t="n">
        <v>6801.72</v>
      </c>
      <c r="D38" s="94" t="n">
        <f aca="false">(C38-C37)/C37</f>
        <v>0.00420033455037225</v>
      </c>
      <c r="E38" s="94" t="n">
        <f aca="false">C38/C$4-1</f>
        <v>0.19860010714185</v>
      </c>
    </row>
    <row r="39" customFormat="false" ht="15" hidden="false" customHeight="true" outlineLevel="0" collapsed="false">
      <c r="A39" s="35" t="n">
        <v>2024</v>
      </c>
      <c r="B39" s="34" t="s">
        <v>52</v>
      </c>
      <c r="C39" s="91" t="n">
        <v>6858.17</v>
      </c>
      <c r="D39" s="92" t="n">
        <f aca="false">(C39-C38)/C38</f>
        <v>0.0082993713354857</v>
      </c>
      <c r="E39" s="92" t="n">
        <f aca="false">C39/C$4-1</f>
        <v>0.208547734513773</v>
      </c>
    </row>
    <row r="40" customFormat="false" ht="15" hidden="false" customHeight="true" outlineLevel="0" collapsed="false">
      <c r="A40" s="87" t="n">
        <v>2024</v>
      </c>
      <c r="B40" s="88" t="s">
        <v>41</v>
      </c>
      <c r="C40" s="89" t="n">
        <v>6869.14</v>
      </c>
      <c r="D40" s="90" t="n">
        <f aca="false">(C40-C39)/C39</f>
        <v>0.00159955206709665</v>
      </c>
      <c r="E40" s="90" t="n">
        <f aca="false">C40/C$4-1</f>
        <v>0.2104808695407</v>
      </c>
    </row>
    <row r="41" customFormat="false" ht="15" hidden="false" customHeight="true" outlineLevel="0" collapsed="false">
      <c r="A41" s="35" t="n">
        <v>2024</v>
      </c>
      <c r="B41" s="34" t="s">
        <v>42</v>
      </c>
      <c r="C41" s="91" t="n">
        <v>6895.24</v>
      </c>
      <c r="D41" s="92" t="n">
        <f aca="false">(C41-C40)/C40</f>
        <v>0.00379960227917897</v>
      </c>
      <c r="E41" s="92" t="n">
        <f aca="false">C41/C$4-1</f>
        <v>0.215080215411509</v>
      </c>
    </row>
    <row r="42" customFormat="false" ht="15" hidden="false" customHeight="true" outlineLevel="0" collapsed="false">
      <c r="A42" s="41" t="n">
        <v>2024</v>
      </c>
      <c r="B42" s="40" t="s">
        <v>43</v>
      </c>
      <c r="C42" s="93" t="n">
        <v>6926.96</v>
      </c>
      <c r="D42" s="94" t="n">
        <f aca="false">(C42-C41)/C41</f>
        <v>0.00460027497229977</v>
      </c>
      <c r="E42" s="94" t="n">
        <f aca="false">C42/C$4-1</f>
        <v>0.220669918515803</v>
      </c>
    </row>
    <row r="43" customFormat="false" ht="15" hidden="false" customHeight="true" outlineLevel="0" collapsed="false">
      <c r="A43" s="35" t="n">
        <v>2024</v>
      </c>
      <c r="B43" s="34" t="s">
        <v>44</v>
      </c>
      <c r="C43" s="91" t="n">
        <v>6941.51</v>
      </c>
      <c r="D43" s="92" t="n">
        <f aca="false">(C43-C42)/C42</f>
        <v>0.00210048852599123</v>
      </c>
      <c r="E43" s="92" t="n">
        <f aca="false">C43/C$4-1</f>
        <v>0.223233921673669</v>
      </c>
    </row>
    <row r="44" customFormat="false" ht="15" hidden="false" customHeight="true" outlineLevel="0" collapsed="false">
      <c r="A44" s="41" t="n">
        <v>2024</v>
      </c>
      <c r="B44" s="40" t="s">
        <v>45</v>
      </c>
      <c r="C44" s="93" t="n">
        <v>6967.89</v>
      </c>
      <c r="D44" s="94" t="n">
        <f aca="false">(C44-C43)/C43</f>
        <v>0.00380032586569783</v>
      </c>
      <c r="E44" s="94" t="n">
        <f aca="false">C44/C$4-1</f>
        <v>0.227882609186004</v>
      </c>
    </row>
    <row r="45" customFormat="false" ht="15" hidden="false" customHeight="true" outlineLevel="0" collapsed="false">
      <c r="A45" s="35" t="n">
        <v>2024</v>
      </c>
      <c r="B45" s="34" t="s">
        <v>46</v>
      </c>
      <c r="C45" s="91" t="n">
        <v>6966.5</v>
      </c>
      <c r="D45" s="92" t="n">
        <f aca="false">(C45-C44)/C44</f>
        <v>-0.000199486501652628</v>
      </c>
      <c r="E45" s="92" t="n">
        <f aca="false">C45/C$4-1</f>
        <v>0.227637663179857</v>
      </c>
    </row>
    <row r="46" customFormat="false" ht="15" hidden="false" customHeight="true" outlineLevel="0" collapsed="false">
      <c r="A46" s="41" t="n">
        <v>2024</v>
      </c>
      <c r="B46" s="40" t="s">
        <v>47</v>
      </c>
      <c r="C46" s="93" t="n">
        <v>6997.15</v>
      </c>
      <c r="D46" s="94" t="n">
        <f aca="false">(C46-C45)/C45</f>
        <v>0.00439962678532974</v>
      </c>
      <c r="E46" s="94" t="n">
        <f aca="false">C46/C$4-1</f>
        <v>0.233038810725463</v>
      </c>
    </row>
    <row r="47" customFormat="false" ht="15" hidden="false" customHeight="true" outlineLevel="0" collapsed="false">
      <c r="A47" s="35" t="n">
        <v>2024</v>
      </c>
      <c r="B47" s="34" t="s">
        <v>48</v>
      </c>
      <c r="C47" s="91" t="n">
        <v>7036.33</v>
      </c>
      <c r="D47" s="92" t="n">
        <f aca="false">(C47-C46)/C46</f>
        <v>0.0055994226220676</v>
      </c>
      <c r="E47" s="92" t="n">
        <f aca="false">C47/C$4-1</f>
        <v>0.239943116136127</v>
      </c>
    </row>
    <row r="48" customFormat="false" ht="15" hidden="false" customHeight="true" outlineLevel="0" collapsed="false">
      <c r="A48" s="41" t="n">
        <v>2024</v>
      </c>
      <c r="B48" s="40" t="s">
        <v>49</v>
      </c>
      <c r="C48" s="93" t="n">
        <v>7063.77</v>
      </c>
      <c r="D48" s="94" t="n">
        <f aca="false">(C48-C47)/C47</f>
        <v>0.00389976024433199</v>
      </c>
      <c r="E48" s="94" t="n">
        <f aca="false">C48/C$4-1</f>
        <v>0.244778597005667</v>
      </c>
    </row>
    <row r="49" customFormat="false" ht="15" hidden="false" customHeight="true" outlineLevel="0" collapsed="false">
      <c r="A49" s="35" t="n">
        <v>2024</v>
      </c>
      <c r="B49" s="34" t="s">
        <v>50</v>
      </c>
      <c r="C49" s="91" t="n">
        <v>7100.5</v>
      </c>
      <c r="D49" s="92" t="n">
        <f aca="false">(C49-C48)/C48</f>
        <v>0.00519977292578886</v>
      </c>
      <c r="E49" s="92" t="n">
        <f aca="false">C49/C$4-1</f>
        <v>0.251251163052979</v>
      </c>
    </row>
    <row r="50" customFormat="false" ht="15" hidden="false" customHeight="true" outlineLevel="0" collapsed="false">
      <c r="A50" s="41" t="n">
        <v>2025</v>
      </c>
      <c r="B50" s="40" t="s">
        <v>51</v>
      </c>
      <c r="C50" s="93" t="n">
        <v>7111.86</v>
      </c>
      <c r="D50" s="94" t="n">
        <f aca="false">(C50-C49)/C49</f>
        <v>0.00159988733187799</v>
      </c>
      <c r="E50" s="94" t="n">
        <f aca="false">C50/C$4-1</f>
        <v>0.253253023937745</v>
      </c>
    </row>
    <row r="51" customFormat="false" ht="15" hidden="false" customHeight="true" outlineLevel="0" collapsed="false">
      <c r="A51" s="35" t="n">
        <v>2025</v>
      </c>
      <c r="B51" s="34" t="s">
        <v>52</v>
      </c>
      <c r="C51" s="91" t="n">
        <v>7205.03</v>
      </c>
      <c r="D51" s="92" t="n">
        <f aca="false">(C51-C50)/C50</f>
        <v>0.0131006515876297</v>
      </c>
      <c r="E51" s="92" t="n">
        <f aca="false">C51/C$4-1</f>
        <v>0.269671455155497</v>
      </c>
    </row>
    <row r="52" customFormat="false" ht="15" hidden="false" customHeight="true" outlineLevel="0" collapsed="false">
      <c r="A52" s="87" t="n">
        <v>2025</v>
      </c>
      <c r="B52" s="88" t="s">
        <v>41</v>
      </c>
      <c r="C52" s="89" t="n">
        <v>7245.38</v>
      </c>
      <c r="D52" s="90" t="n">
        <f aca="false">(C52-C51)/C51</f>
        <v>0.00560025426681088</v>
      </c>
      <c r="E52" s="90" t="n">
        <f aca="false">C52/C$4-1</f>
        <v>0.276781938139679</v>
      </c>
    </row>
    <row r="53" customFormat="false" ht="15" hidden="false" customHeight="true" outlineLevel="0" collapsed="false">
      <c r="A53" s="35" t="n">
        <v>2025</v>
      </c>
      <c r="B53" s="34" t="s">
        <v>42</v>
      </c>
      <c r="C53" s="91" t="n">
        <v>7276.53</v>
      </c>
      <c r="D53" s="92" t="n">
        <f aca="false">(C53-C52)/C52</f>
        <v>0.00429929141052638</v>
      </c>
      <c r="E53" s="92" t="n">
        <f aca="false">C53/C$4-1</f>
        <v>0.282271195759438</v>
      </c>
    </row>
    <row r="54" customFormat="false" ht="15" hidden="false" customHeight="true" outlineLevel="0" collapsed="false">
      <c r="A54" s="41" t="n">
        <v>2025</v>
      </c>
      <c r="B54" s="40" t="s">
        <v>43</v>
      </c>
      <c r="C54" s="93" t="n">
        <v>7295.45</v>
      </c>
      <c r="D54" s="94" t="n">
        <f aca="false">(C54-C53)/C53</f>
        <v>0.0026001404515614</v>
      </c>
      <c r="E54" s="94" t="n">
        <f aca="false">C54/C$4-1</f>
        <v>0.285605280965404</v>
      </c>
    </row>
    <row r="55" customFormat="false" ht="15" hidden="false" customHeight="true" outlineLevel="0" collapsed="false">
      <c r="A55" s="35" t="n">
        <v>2025</v>
      </c>
      <c r="B55" s="34" t="s">
        <v>44</v>
      </c>
      <c r="C55" s="91" t="n">
        <v>7312.96</v>
      </c>
      <c r="D55" s="92" t="n">
        <f aca="false">(C55-C54)/C54</f>
        <v>0.0024001261059976</v>
      </c>
      <c r="E55" s="92" t="n">
        <f aca="false">C55/C$4-1</f>
        <v>0.288690895762258</v>
      </c>
    </row>
    <row r="56" customFormat="false" ht="15" hidden="false" customHeight="true" outlineLevel="0" collapsed="false">
      <c r="A56" s="41" t="n">
        <v>2025</v>
      </c>
      <c r="B56" s="40" t="s">
        <v>45</v>
      </c>
      <c r="C56" s="93" t="n">
        <v>7331.97</v>
      </c>
      <c r="D56" s="94" t="n">
        <f aca="false">(C56-C55)/C55</f>
        <v>0.00259949459589554</v>
      </c>
      <c r="E56" s="94" t="n">
        <f aca="false">C56/C$4-1</f>
        <v>0.292040840781572</v>
      </c>
    </row>
    <row r="57" customFormat="false" ht="15" hidden="false" customHeight="true" outlineLevel="0" collapsed="false">
      <c r="A57" s="35" t="n">
        <v>2025</v>
      </c>
      <c r="B57" s="34" t="s">
        <v>46</v>
      </c>
      <c r="C57" s="91" t="n">
        <v>7323.91</v>
      </c>
      <c r="D57" s="92" t="n">
        <f aca="false">(C57-C56)/C56</f>
        <v>-0.00109929527807675</v>
      </c>
      <c r="E57" s="92" t="n">
        <f aca="false">C57/C$4-1</f>
        <v>0.290620506386218</v>
      </c>
    </row>
    <row r="58" customFormat="false" ht="15" hidden="false" customHeight="true" outlineLevel="0" collapsed="false">
      <c r="A58" s="41" t="n">
        <v>2025</v>
      </c>
      <c r="B58" s="40" t="s">
        <v>47</v>
      </c>
      <c r="C58" s="93" t="n">
        <v>7359.06</v>
      </c>
      <c r="D58" s="94" t="n">
        <f aca="false">(C58-C57)/C57</f>
        <v>0.00479934898162328</v>
      </c>
      <c r="E58" s="94" t="n">
        <f aca="false">C58/C$4-1</f>
        <v>0.296814644599205</v>
      </c>
    </row>
    <row r="59" customFormat="false" ht="15" hidden="false" customHeight="true" outlineLevel="0" collapsed="false">
      <c r="A59" s="35" t="n">
        <v>2025</v>
      </c>
      <c r="B59" s="34" t="s">
        <v>48</v>
      </c>
      <c r="C59" s="91" t="n">
        <v>7365.69</v>
      </c>
      <c r="D59" s="92" t="n">
        <f aca="false">(C59-C58)/C58</f>
        <v>0.000900930281856541</v>
      </c>
      <c r="E59" s="92" t="n">
        <f aca="false">C59/C$4-1</f>
        <v>0.297982984182479</v>
      </c>
    </row>
    <row r="60" customFormat="false" ht="15" hidden="false" customHeight="true" outlineLevel="0" collapsed="false">
      <c r="A60" s="41" t="n">
        <v>2025</v>
      </c>
      <c r="B60" s="40" t="s">
        <v>49</v>
      </c>
      <c r="C60" s="93" t="n">
        <v>7378.94</v>
      </c>
      <c r="D60" s="94" t="n">
        <f aca="false">(C60-C59)/C59</f>
        <v>0.00179888102811821</v>
      </c>
      <c r="E60" s="94" t="n">
        <f aca="false">C60/C$4-1</f>
        <v>0.300317901147545</v>
      </c>
    </row>
    <row r="61" customFormat="false" ht="15" hidden="false" customHeight="true" outlineLevel="0" collapsed="false">
      <c r="A61" s="35" t="n">
        <v>2025</v>
      </c>
      <c r="B61" s="34" t="s">
        <v>50</v>
      </c>
      <c r="C61" s="91" t="n">
        <v>7403.29</v>
      </c>
      <c r="D61" s="92" t="n">
        <f aca="false">(C61-C60)/C60</f>
        <v>0.00329993196854838</v>
      </c>
      <c r="E61" s="92" t="n">
        <f aca="false">C61/C$4-1</f>
        <v>0.304608861758818</v>
      </c>
    </row>
    <row r="62" customFormat="false" ht="15" hidden="false" customHeight="true" outlineLevel="0" collapsed="false">
      <c r="A62" s="41" t="n">
        <v>2026</v>
      </c>
      <c r="B62" s="40" t="s">
        <v>51</v>
      </c>
      <c r="C62" s="93" t="n">
        <v>7427.73</v>
      </c>
      <c r="D62" s="94" t="n">
        <f aca="false">(C62-C61)/C61</f>
        <v>0.00330123499146995</v>
      </c>
      <c r="E62" s="94" t="n">
        <f aca="false">C62/C$4-1</f>
        <v>0.308915682183438</v>
      </c>
    </row>
    <row r="63" customFormat="false" ht="15" hidden="false" customHeight="true" outlineLevel="0" collapsed="false">
      <c r="A63" s="35" t="n">
        <v>2026</v>
      </c>
      <c r="B63" s="34" t="s">
        <v>52</v>
      </c>
      <c r="C63" s="91" t="n">
        <v>7479.72</v>
      </c>
      <c r="D63" s="92" t="n">
        <f aca="false">(C63-C62)/C62</f>
        <v>0.00699944666809384</v>
      </c>
      <c r="E63" s="92" t="n">
        <f aca="false">C63/C$4-1</f>
        <v>0.318077367693913</v>
      </c>
    </row>
    <row r="64" customFormat="false" ht="15" hidden="false" customHeight="true" outlineLevel="0" collapsed="false">
      <c r="A64" s="87" t="n">
        <v>2026</v>
      </c>
      <c r="B64" s="88" t="s">
        <v>41</v>
      </c>
      <c r="C64" s="89" t="n">
        <v>7545.54</v>
      </c>
      <c r="D64" s="90" t="n">
        <f aca="false">(C64-C63)/C63</f>
        <v>0.00879979464471928</v>
      </c>
      <c r="E64" s="90" t="n">
        <f aca="false">C64/C$4-1</f>
        <v>0.329676177855471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20.25" hidden="false" customHeight="true" outlineLevel="0" collapsed="false">
      <c r="A1" s="85" t="s">
        <v>72</v>
      </c>
      <c r="B1" s="85"/>
      <c r="C1" s="85"/>
      <c r="D1" s="85"/>
      <c r="E1" s="85"/>
      <c r="F1" s="85"/>
      <c r="G1" s="85"/>
      <c r="H1" s="85"/>
    </row>
    <row r="2" customFormat="false" ht="15" hidden="false" customHeight="true" outlineLevel="0" collapsed="false">
      <c r="A2" s="95" t="s">
        <v>73</v>
      </c>
    </row>
    <row r="3" customFormat="false" ht="21.75" hidden="false" customHeight="true" outlineLevel="0" collapsed="false">
      <c r="A3" s="14" t="s">
        <v>74</v>
      </c>
      <c r="B3" s="14" t="s">
        <v>75</v>
      </c>
      <c r="C3" s="14" t="s">
        <v>76</v>
      </c>
      <c r="D3" s="14" t="s">
        <v>77</v>
      </c>
      <c r="E3" s="14" t="s">
        <v>78</v>
      </c>
      <c r="F3" s="14" t="s">
        <v>79</v>
      </c>
      <c r="G3" s="14" t="s">
        <v>80</v>
      </c>
      <c r="H3" s="14" t="s">
        <v>81</v>
      </c>
    </row>
    <row r="4" customFormat="false" ht="15" hidden="false" customHeight="true" outlineLevel="0" collapsed="false">
      <c r="A4" s="96" t="s">
        <v>82</v>
      </c>
      <c r="B4" s="97" t="s">
        <v>83</v>
      </c>
      <c r="C4" s="97" t="s">
        <v>84</v>
      </c>
      <c r="D4" s="98" t="n">
        <v>0.0085</v>
      </c>
      <c r="E4" s="99" t="n">
        <f aca="false">(1+D4)^12-1</f>
        <v>0.106906226923436</v>
      </c>
      <c r="F4" s="100" t="n">
        <f aca="false">'Índices IPCA'!C16/'Índices IPCA'!C4-1</f>
        <v>0.112994121295853</v>
      </c>
      <c r="G4" s="101" t="n">
        <v>1</v>
      </c>
      <c r="H4" s="102" t="n">
        <v>1351.05</v>
      </c>
    </row>
    <row r="5" customFormat="false" ht="15" hidden="false" customHeight="true" outlineLevel="0" collapsed="false">
      <c r="A5" s="16" t="s">
        <v>85</v>
      </c>
      <c r="B5" s="18" t="s">
        <v>86</v>
      </c>
      <c r="C5" s="18" t="s">
        <v>87</v>
      </c>
      <c r="D5" s="98" t="n">
        <v>0.0085</v>
      </c>
      <c r="E5" s="103" t="n">
        <f aca="false">(1+D5)^12-1</f>
        <v>0.106906226923436</v>
      </c>
      <c r="F5" s="100" t="n">
        <f aca="false">'Índices IPCA'!C28/'Índices IPCA'!C16-1</f>
        <v>0.0465077985348159</v>
      </c>
      <c r="G5" s="104" t="n">
        <f aca="false">IF(F4=0,1,(1+F4)*(1+E5))</f>
        <v>1.23198012339156</v>
      </c>
      <c r="H5" s="105" t="n">
        <f aca="false">H4*G5</f>
        <v>1664.46674570816</v>
      </c>
    </row>
    <row r="6" customFormat="false" ht="15" hidden="false" customHeight="true" outlineLevel="0" collapsed="false">
      <c r="A6" s="96" t="s">
        <v>88</v>
      </c>
      <c r="B6" s="97" t="s">
        <v>89</v>
      </c>
      <c r="C6" s="97" t="s">
        <v>90</v>
      </c>
      <c r="D6" s="98" t="n">
        <v>0.0085</v>
      </c>
      <c r="E6" s="99" t="n">
        <f aca="false">(1+D6)^12-1</f>
        <v>0.106906226923436</v>
      </c>
      <c r="F6" s="100" t="n">
        <f aca="false">'Índices IPCA'!C40/'Índices IPCA'!C28-1</f>
        <v>0.0392561201996469</v>
      </c>
      <c r="G6" s="101" t="n">
        <f aca="false">IF(F5=0,1,(1+F5)*(1+E6))</f>
        <v>1.15838599872212</v>
      </c>
      <c r="H6" s="105" t="n">
        <f aca="false">H5*G6</f>
        <v>1928.09497356692</v>
      </c>
    </row>
    <row r="7" customFormat="false" ht="15" hidden="false" customHeight="true" outlineLevel="0" collapsed="false">
      <c r="A7" s="16" t="s">
        <v>91</v>
      </c>
      <c r="B7" s="18" t="s">
        <v>92</v>
      </c>
      <c r="C7" s="18" t="s">
        <v>93</v>
      </c>
      <c r="D7" s="98" t="n">
        <v>0.0085</v>
      </c>
      <c r="E7" s="103" t="n">
        <f aca="false">(1+D7)^12-1</f>
        <v>0.106906226923436</v>
      </c>
      <c r="F7" s="100" t="n">
        <f aca="false">'Índices IPCA'!C52/'Índices IPCA'!C40-1</f>
        <v>0.0547725042727327</v>
      </c>
      <c r="G7" s="104" t="n">
        <f aca="false">IF(F6=0,1,(1+F6)*(1+E7))</f>
        <v>1.15035907081728</v>
      </c>
      <c r="H7" s="105" t="n">
        <f aca="false">H6*G7</f>
        <v>2218.00154223991</v>
      </c>
    </row>
    <row r="8" customFormat="false" ht="15" hidden="false" customHeight="true" outlineLevel="0" collapsed="false">
      <c r="A8" s="96" t="s">
        <v>94</v>
      </c>
      <c r="B8" s="97" t="s">
        <v>95</v>
      </c>
      <c r="C8" s="97" t="s">
        <v>96</v>
      </c>
      <c r="D8" s="98" t="n">
        <v>0.0085</v>
      </c>
      <c r="E8" s="99" t="n">
        <f aca="false">(1+D8)^12-1</f>
        <v>0.106906226923436</v>
      </c>
      <c r="F8" s="100" t="n">
        <f aca="false">'Índices IPCA'!C64/'Índices IPCA'!C52-1</f>
        <v>0.0414277788052524</v>
      </c>
      <c r="G8" s="101" t="n">
        <f aca="false">IF(F7=0,1,(1+F7)*(1+E8))</f>
        <v>1.16753425296711</v>
      </c>
      <c r="H8" s="105" t="n">
        <f aca="false">H7*G8</f>
        <v>2589.59277369898</v>
      </c>
    </row>
    <row r="9" customFormat="false" ht="15" hidden="false" customHeight="true" outlineLevel="0" collapsed="false">
      <c r="A9" s="16" t="s">
        <v>97</v>
      </c>
      <c r="B9" s="18" t="s">
        <v>98</v>
      </c>
      <c r="C9" s="18" t="s">
        <v>99</v>
      </c>
      <c r="D9" s="98" t="n">
        <v>0.0085</v>
      </c>
      <c r="E9" s="103" t="n">
        <f aca="false">(1+D9)^12-1</f>
        <v>0.106906226923436</v>
      </c>
      <c r="F9" s="106" t="n">
        <v>0</v>
      </c>
      <c r="G9" s="104" t="n">
        <f aca="false">IF(F8=0,1,(1+F8)*(1+E9))</f>
        <v>1.15276289325058</v>
      </c>
      <c r="H9" s="105" t="n">
        <f aca="false">H8*G9</f>
        <v>2985.18645815002</v>
      </c>
    </row>
    <row r="10" customFormat="false" ht="15" hidden="false" customHeight="true" outlineLevel="0" collapsed="false">
      <c r="A10" s="96" t="s">
        <v>100</v>
      </c>
      <c r="B10" s="97" t="s">
        <v>101</v>
      </c>
      <c r="C10" s="97" t="s">
        <v>102</v>
      </c>
      <c r="D10" s="98" t="n">
        <v>0.0085</v>
      </c>
      <c r="E10" s="99" t="n">
        <f aca="false">(1+D10)^12-1</f>
        <v>0.106906226923436</v>
      </c>
      <c r="F10" s="106" t="n">
        <v>0</v>
      </c>
      <c r="G10" s="101" t="n">
        <f aca="false">IF(F9=0,1,(1+F9)*(1+E10))</f>
        <v>1</v>
      </c>
      <c r="H10" s="105" t="n">
        <f aca="false">H9*G10</f>
        <v>2985.18645815002</v>
      </c>
    </row>
    <row r="11" customFormat="false" ht="15" hidden="false" customHeight="true" outlineLevel="0" collapsed="false">
      <c r="A11" s="16" t="s">
        <v>103</v>
      </c>
      <c r="B11" s="18" t="s">
        <v>104</v>
      </c>
      <c r="C11" s="18" t="s">
        <v>105</v>
      </c>
      <c r="D11" s="98" t="n">
        <v>0.0085</v>
      </c>
      <c r="E11" s="103" t="n">
        <f aca="false">(1+D11)^12-1</f>
        <v>0.106906226923436</v>
      </c>
      <c r="F11" s="106" t="n">
        <v>0</v>
      </c>
      <c r="G11" s="104" t="n">
        <f aca="false">IF(F10=0,1,(1+F10)*(1+E11))</f>
        <v>1</v>
      </c>
      <c r="H11" s="105" t="n">
        <f aca="false">H10*G11</f>
        <v>2985.18645815002</v>
      </c>
    </row>
    <row r="12" customFormat="false" ht="15" hidden="false" customHeight="true" outlineLevel="0" collapsed="false">
      <c r="A12" s="96" t="s">
        <v>106</v>
      </c>
      <c r="B12" s="97" t="s">
        <v>107</v>
      </c>
      <c r="C12" s="97" t="s">
        <v>108</v>
      </c>
      <c r="D12" s="98" t="n">
        <v>0.0085</v>
      </c>
      <c r="E12" s="99" t="n">
        <f aca="false">(1+D12)^12-1</f>
        <v>0.106906226923436</v>
      </c>
      <c r="F12" s="106" t="n">
        <v>0</v>
      </c>
      <c r="G12" s="101" t="n">
        <f aca="false">IF(F11=0,1,(1+F11)*(1+E12))</f>
        <v>1</v>
      </c>
      <c r="H12" s="105" t="n">
        <f aca="false">H11*G12</f>
        <v>2985.18645815002</v>
      </c>
    </row>
    <row r="13" customFormat="false" ht="15" hidden="false" customHeight="true" outlineLevel="0" collapsed="false">
      <c r="A13" s="16" t="s">
        <v>109</v>
      </c>
      <c r="B13" s="18" t="s">
        <v>110</v>
      </c>
      <c r="C13" s="18" t="s">
        <v>111</v>
      </c>
      <c r="D13" s="98" t="n">
        <v>0.0085</v>
      </c>
      <c r="E13" s="103" t="n">
        <f aca="false">(1+D13)^12-1</f>
        <v>0.106906226923436</v>
      </c>
      <c r="F13" s="106" t="n">
        <v>0</v>
      </c>
      <c r="G13" s="104" t="n">
        <f aca="false">IF(F12=0,1,(1+F12)*(1+E13))</f>
        <v>1</v>
      </c>
      <c r="H13" s="105" t="n">
        <f aca="false">H12*G13</f>
        <v>2985.18645815002</v>
      </c>
    </row>
    <row r="16" customFormat="false" ht="15" hidden="false" customHeight="true" outlineLevel="0" collapsed="false">
      <c r="A16" s="3" t="s">
        <v>112</v>
      </c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true" outlineLevel="0" collapsed="false">
      <c r="A17" s="95" t="s">
        <v>113</v>
      </c>
      <c r="B17" s="107"/>
      <c r="C17" s="107"/>
      <c r="D17" s="107"/>
      <c r="E17" s="107"/>
      <c r="F17" s="107"/>
      <c r="G17" s="107"/>
      <c r="H17" s="107"/>
      <c r="I17" s="107"/>
    </row>
    <row r="18" customFormat="false" ht="15" hidden="false" customHeight="true" outlineLevel="0" collapsed="false">
      <c r="A18" s="108" t="s">
        <v>114</v>
      </c>
      <c r="B18" s="109"/>
      <c r="C18" s="109"/>
      <c r="D18" s="109"/>
      <c r="E18" s="109"/>
      <c r="F18" s="110" t="n">
        <v>50000</v>
      </c>
      <c r="G18" s="107"/>
      <c r="H18" s="107"/>
      <c r="I18" s="107"/>
    </row>
    <row r="19" customFormat="false" ht="15" hidden="false" customHeight="true" outlineLevel="0" collapsed="false">
      <c r="A19" s="109"/>
      <c r="B19" s="109"/>
      <c r="C19" s="111"/>
      <c r="D19" s="111"/>
      <c r="E19" s="112"/>
      <c r="F19" s="112"/>
      <c r="G19" s="109"/>
      <c r="H19" s="109"/>
      <c r="I19" s="107"/>
    </row>
    <row r="20" customFormat="false" ht="15" hidden="false" customHeight="true" outlineLevel="0" collapsed="false">
      <c r="A20" s="14" t="s">
        <v>22</v>
      </c>
      <c r="B20" s="14" t="s">
        <v>115</v>
      </c>
      <c r="C20" s="113" t="s">
        <v>116</v>
      </c>
      <c r="D20" s="113" t="s">
        <v>117</v>
      </c>
      <c r="E20" s="114" t="s">
        <v>118</v>
      </c>
      <c r="F20" s="114" t="s">
        <v>79</v>
      </c>
      <c r="G20" s="114" t="s">
        <v>78</v>
      </c>
      <c r="H20" s="14" t="s">
        <v>119</v>
      </c>
      <c r="I20" s="14" t="s">
        <v>120</v>
      </c>
    </row>
    <row r="21" customFormat="false" ht="15" hidden="false" customHeight="true" outlineLevel="0" collapsed="false">
      <c r="A21" s="115" t="n">
        <v>1</v>
      </c>
      <c r="B21" s="115" t="s">
        <v>121</v>
      </c>
      <c r="C21" s="38" t="n">
        <f aca="false">F18</f>
        <v>50000</v>
      </c>
      <c r="D21" s="21" t="n">
        <v>5000</v>
      </c>
      <c r="E21" s="38" t="n">
        <f aca="false">C21-D21</f>
        <v>45000</v>
      </c>
      <c r="F21" s="63"/>
      <c r="G21" s="63"/>
      <c r="H21" s="116" t="s">
        <v>122</v>
      </c>
      <c r="I21" s="117" t="n">
        <f aca="false">E21</f>
        <v>45000</v>
      </c>
    </row>
    <row r="22" customFormat="false" ht="15" hidden="false" customHeight="true" outlineLevel="0" collapsed="false">
      <c r="A22" s="115" t="n">
        <v>2</v>
      </c>
      <c r="B22" s="115" t="s">
        <v>123</v>
      </c>
      <c r="C22" s="38" t="n">
        <f aca="false">I21</f>
        <v>45000</v>
      </c>
      <c r="D22" s="21" t="n">
        <v>5000</v>
      </c>
      <c r="E22" s="38" t="n">
        <f aca="false">C22-D22</f>
        <v>40000</v>
      </c>
      <c r="F22" s="39" t="n">
        <f aca="false">'Índices IPCA'!C28/'Índices IPCA'!C16-1</f>
        <v>0.0465077985348159</v>
      </c>
      <c r="G22" s="63" t="n">
        <f aca="false">(1+0.0085)^12-1</f>
        <v>0.106906226923436</v>
      </c>
      <c r="H22" s="118" t="s">
        <v>124</v>
      </c>
      <c r="I22" s="117" t="n">
        <f aca="false">IF(F22=0,E22*(1+G22),E22*(1+F22)*(1+G22))</f>
        <v>46335.439948885</v>
      </c>
    </row>
    <row r="23" customFormat="false" ht="15" hidden="false" customHeight="true" outlineLevel="0" collapsed="false">
      <c r="A23" s="119" t="n">
        <v>3</v>
      </c>
      <c r="B23" s="119" t="s">
        <v>125</v>
      </c>
      <c r="C23" s="38" t="n">
        <f aca="false">I22</f>
        <v>46335.439948885</v>
      </c>
      <c r="D23" s="21" t="n">
        <v>0</v>
      </c>
      <c r="E23" s="38" t="n">
        <f aca="false">C23-D23</f>
        <v>46335.439948885</v>
      </c>
      <c r="F23" s="39" t="n">
        <f aca="false">'Índices IPCA'!C40/'Índices IPCA'!C28-1</f>
        <v>0.0392561201996469</v>
      </c>
      <c r="G23" s="63" t="n">
        <f aca="false">(1+0.0085)^12-1</f>
        <v>0.106906226923436</v>
      </c>
      <c r="H23" s="118" t="s">
        <v>124</v>
      </c>
      <c r="I23" s="120" t="n">
        <f aca="false">IF(F23=0,E23*(1+G23),E23*(1+F23)*(1+G23))</f>
        <v>53302.3936455092</v>
      </c>
    </row>
    <row r="24" customFormat="false" ht="15" hidden="false" customHeight="true" outlineLevel="0" collapsed="false">
      <c r="A24" s="119" t="n">
        <v>4</v>
      </c>
      <c r="B24" s="119" t="s">
        <v>126</v>
      </c>
      <c r="C24" s="38" t="n">
        <f aca="false">I23</f>
        <v>53302.3936455092</v>
      </c>
      <c r="D24" s="21" t="n">
        <v>0</v>
      </c>
      <c r="E24" s="38" t="n">
        <f aca="false">C24-D24</f>
        <v>53302.3936455092</v>
      </c>
      <c r="F24" s="39" t="n">
        <f aca="false">'Índices IPCA'!C52/'Índices IPCA'!C40-1</f>
        <v>0.0547725042727327</v>
      </c>
      <c r="G24" s="63" t="n">
        <f aca="false">(1+0.0085)^12-1</f>
        <v>0.106906226923436</v>
      </c>
      <c r="H24" s="118" t="s">
        <v>124</v>
      </c>
      <c r="I24" s="120" t="n">
        <f aca="false">IF(F24=0,E24*(1+G24),E24*(1+F24)*(1+G24))</f>
        <v>62232.3703462687</v>
      </c>
    </row>
    <row r="25" customFormat="false" ht="15" hidden="false" customHeight="true" outlineLevel="0" collapsed="false">
      <c r="A25" s="119" t="n">
        <v>5</v>
      </c>
      <c r="B25" s="119" t="s">
        <v>127</v>
      </c>
      <c r="C25" s="38" t="n">
        <f aca="false">I24</f>
        <v>62232.3703462687</v>
      </c>
      <c r="D25" s="21" t="n">
        <v>0</v>
      </c>
      <c r="E25" s="38" t="n">
        <f aca="false">C25-D25</f>
        <v>62232.3703462687</v>
      </c>
      <c r="F25" s="39" t="n">
        <f aca="false">'Índices IPCA'!C64/'Índices IPCA'!C52-1</f>
        <v>0.0414277788052524</v>
      </c>
      <c r="G25" s="63" t="n">
        <f aca="false">(1+0.0085)^12-1</f>
        <v>0.106906226923436</v>
      </c>
      <c r="H25" s="118" t="s">
        <v>124</v>
      </c>
      <c r="I25" s="120" t="n">
        <f aca="false">IF(F25=0,E25*(1+G25),E25*(1+F25)*(1+G25))</f>
        <v>71739.1672942061</v>
      </c>
    </row>
    <row r="26" customFormat="false" ht="15" hidden="false" customHeight="true" outlineLevel="0" collapsed="false">
      <c r="A26" s="119" t="n">
        <v>6</v>
      </c>
      <c r="B26" s="119" t="s">
        <v>128</v>
      </c>
      <c r="C26" s="38" t="n">
        <f aca="false">I25</f>
        <v>71739.1672942061</v>
      </c>
      <c r="D26" s="21" t="n">
        <v>0</v>
      </c>
      <c r="E26" s="38" t="n">
        <f aca="false">C26-D26</f>
        <v>71739.1672942061</v>
      </c>
      <c r="F26" s="67" t="n">
        <v>0</v>
      </c>
      <c r="G26" s="63" t="n">
        <f aca="false">(1+0.0085)^12-1</f>
        <v>0.106906226923436</v>
      </c>
      <c r="H26" s="118" t="s">
        <v>124</v>
      </c>
      <c r="I26" s="120" t="n">
        <f aca="false">IF(F26=0,E26*(1+G26),E26*(1+F26)*(1+G26))</f>
        <v>79408.5309922588</v>
      </c>
    </row>
    <row r="27" customFormat="false" ht="15" hidden="false" customHeight="true" outlineLevel="0" collapsed="false">
      <c r="A27" s="119" t="n">
        <v>7</v>
      </c>
      <c r="B27" s="119" t="s">
        <v>129</v>
      </c>
      <c r="C27" s="38" t="n">
        <f aca="false">I26</f>
        <v>79408.5309922588</v>
      </c>
      <c r="D27" s="21" t="n">
        <v>0</v>
      </c>
      <c r="E27" s="38" t="n">
        <f aca="false">C27-D27</f>
        <v>79408.5309922588</v>
      </c>
      <c r="F27" s="67" t="n">
        <v>0</v>
      </c>
      <c r="G27" s="63" t="n">
        <f aca="false">(1+0.0085)^12-1</f>
        <v>0.106906226923436</v>
      </c>
      <c r="H27" s="118" t="s">
        <v>124</v>
      </c>
      <c r="I27" s="120" t="n">
        <f aca="false">IF(F27=0,E27*(1+G27),E27*(1+F27)*(1+G27))</f>
        <v>87897.797426174</v>
      </c>
    </row>
    <row r="28" customFormat="false" ht="15" hidden="false" customHeight="true" outlineLevel="0" collapsed="false">
      <c r="A28" s="119" t="n">
        <v>8</v>
      </c>
      <c r="B28" s="119" t="s">
        <v>130</v>
      </c>
      <c r="C28" s="38" t="n">
        <f aca="false">I27</f>
        <v>87897.797426174</v>
      </c>
      <c r="D28" s="21" t="n">
        <v>0</v>
      </c>
      <c r="E28" s="38" t="n">
        <f aca="false">C28-D28</f>
        <v>87897.797426174</v>
      </c>
      <c r="F28" s="67" t="n">
        <v>0</v>
      </c>
      <c r="G28" s="63" t="n">
        <f aca="false">(1+0.0085)^12-1</f>
        <v>0.106906226923436</v>
      </c>
      <c r="H28" s="118" t="s">
        <v>124</v>
      </c>
      <c r="I28" s="120" t="n">
        <f aca="false">IF(F28=0,E28*(1+G28),E28*(1+F28)*(1+G28))</f>
        <v>97294.6193038868</v>
      </c>
    </row>
    <row r="29" customFormat="false" ht="15" hidden="false" customHeight="true" outlineLevel="0" collapsed="false">
      <c r="A29" s="119" t="n">
        <v>9</v>
      </c>
      <c r="B29" s="119" t="s">
        <v>131</v>
      </c>
      <c r="C29" s="38" t="n">
        <f aca="false">I28</f>
        <v>97294.6193038868</v>
      </c>
      <c r="D29" s="21" t="n">
        <v>0</v>
      </c>
      <c r="E29" s="38" t="n">
        <f aca="false">C29-D29</f>
        <v>97294.6193038868</v>
      </c>
      <c r="F29" s="67" t="n">
        <v>0</v>
      </c>
      <c r="G29" s="63" t="n">
        <f aca="false">(1+0.0085)^12-1</f>
        <v>0.106906226923436</v>
      </c>
      <c r="H29" s="118" t="s">
        <v>124</v>
      </c>
      <c r="I29" s="120" t="n">
        <f aca="false">IF(F29=0,E29*(1+G29),E29*(1+F29)*(1+G29))</f>
        <v>107696.019953617</v>
      </c>
    </row>
    <row r="30" customFormat="false" ht="15" hidden="false" customHeight="true" outlineLevel="0" collapsed="false">
      <c r="A30" s="119" t="n">
        <v>10</v>
      </c>
      <c r="B30" s="119" t="s">
        <v>132</v>
      </c>
      <c r="C30" s="38" t="n">
        <f aca="false">I29</f>
        <v>107696.019953617</v>
      </c>
      <c r="D30" s="21" t="n">
        <v>0</v>
      </c>
      <c r="E30" s="38" t="n">
        <f aca="false">C30-D30</f>
        <v>107696.019953617</v>
      </c>
      <c r="F30" s="67" t="n">
        <v>0</v>
      </c>
      <c r="G30" s="63" t="n">
        <f aca="false">(1+0.0085)^12-1</f>
        <v>0.106906226923436</v>
      </c>
      <c r="H30" s="118" t="s">
        <v>124</v>
      </c>
      <c r="I30" s="120" t="n">
        <f aca="false">IF(F30=0,E30*(1+G30),E30*(1+F30)*(1+G30))</f>
        <v>119209.39510153</v>
      </c>
    </row>
    <row r="31" customFormat="false" ht="15" hidden="false" customHeight="true" outlineLevel="0" collapsed="false">
      <c r="A31" s="121" t="s">
        <v>54</v>
      </c>
      <c r="B31" s="122"/>
      <c r="C31" s="122"/>
      <c r="D31" s="74" t="n">
        <f aca="false">SUM(D21:D30)</f>
        <v>10000</v>
      </c>
      <c r="E31" s="122"/>
      <c r="F31" s="122"/>
      <c r="G31" s="122"/>
      <c r="H31" s="122"/>
      <c r="I31" s="122"/>
    </row>
    <row r="32" customFormat="false" ht="15" hidden="false" customHeight="true" outlineLevel="0" collapsed="false">
      <c r="A32" s="107"/>
      <c r="B32" s="107"/>
      <c r="C32" s="107"/>
      <c r="D32" s="107"/>
      <c r="E32" s="107"/>
      <c r="F32" s="107"/>
      <c r="G32" s="107"/>
      <c r="H32" s="107"/>
      <c r="I32" s="107"/>
    </row>
    <row r="33" customFormat="false" ht="15" hidden="false" customHeight="true" outlineLevel="0" collapsed="false">
      <c r="A33" s="123" t="s">
        <v>133</v>
      </c>
      <c r="B33" s="107"/>
      <c r="C33" s="107"/>
      <c r="D33" s="107"/>
      <c r="E33" s="124"/>
      <c r="F33" s="107"/>
      <c r="G33" s="107"/>
      <c r="H33" s="107"/>
      <c r="I33" s="125" t="n">
        <f aca="false">I30</f>
        <v>119209.39510153</v>
      </c>
    </row>
    <row r="34" customFormat="false" ht="15" hidden="false" customHeight="true" outlineLevel="0" collapsed="false">
      <c r="A34" s="108" t="s">
        <v>134</v>
      </c>
      <c r="B34" s="107"/>
      <c r="C34" s="107"/>
      <c r="D34" s="107"/>
      <c r="E34" s="124"/>
      <c r="F34" s="107"/>
      <c r="G34" s="107"/>
      <c r="H34" s="107"/>
      <c r="I34" s="126" t="n">
        <f aca="false">D31</f>
        <v>10000</v>
      </c>
    </row>
    <row r="35" customFormat="false" ht="15" hidden="false" customHeight="true" outlineLevel="0" collapsed="false">
      <c r="A35" s="127"/>
      <c r="B35" s="107"/>
      <c r="C35" s="107"/>
      <c r="D35" s="107"/>
      <c r="E35" s="124"/>
      <c r="F35" s="107"/>
      <c r="G35" s="107"/>
      <c r="H35" s="107"/>
      <c r="I35" s="107"/>
    </row>
    <row r="36" customFormat="false" ht="15" hidden="false" customHeight="true" outlineLevel="0" collapsed="false">
      <c r="A36" s="128" t="s">
        <v>135</v>
      </c>
      <c r="B36" s="107"/>
      <c r="C36" s="107"/>
      <c r="D36" s="107"/>
      <c r="E36" s="124"/>
      <c r="F36" s="107"/>
      <c r="G36" s="107"/>
      <c r="H36" s="107"/>
      <c r="I36" s="107"/>
    </row>
    <row r="37" customFormat="false" ht="15" hidden="false" customHeight="true" outlineLevel="0" collapsed="false">
      <c r="A37" s="84" t="s">
        <v>136</v>
      </c>
      <c r="B37" s="107"/>
      <c r="C37" s="107"/>
      <c r="D37" s="107"/>
      <c r="E37" s="107"/>
      <c r="F37" s="107"/>
      <c r="G37" s="107"/>
      <c r="H37" s="107"/>
      <c r="I37" s="107"/>
    </row>
    <row r="38" customFormat="false" ht="15" hidden="false" customHeight="true" outlineLevel="0" collapsed="false">
      <c r="A38" s="84" t="s">
        <v>137</v>
      </c>
      <c r="B38" s="107"/>
      <c r="C38" s="107"/>
      <c r="D38" s="107"/>
      <c r="E38" s="107"/>
      <c r="F38" s="107"/>
      <c r="G38" s="107"/>
      <c r="H38" s="107"/>
      <c r="I38" s="107"/>
    </row>
    <row r="39" customFormat="false" ht="15" hidden="false" customHeight="true" outlineLevel="0" collapsed="false">
      <c r="A39" s="84" t="s">
        <v>138</v>
      </c>
      <c r="B39" s="107"/>
      <c r="C39" s="107"/>
      <c r="D39" s="107"/>
      <c r="E39" s="107"/>
      <c r="F39" s="107"/>
      <c r="G39" s="107"/>
      <c r="H39" s="107"/>
      <c r="I39" s="107"/>
    </row>
    <row r="40" customFormat="false" ht="15" hidden="false" customHeight="true" outlineLevel="0" collapsed="false">
      <c r="A40" s="84" t="s">
        <v>139</v>
      </c>
      <c r="B40" s="107"/>
      <c r="C40" s="107"/>
      <c r="D40" s="107"/>
      <c r="E40" s="107"/>
      <c r="F40" s="107"/>
      <c r="G40" s="107"/>
      <c r="H40" s="107"/>
      <c r="I40" s="107"/>
    </row>
    <row r="41" customFormat="false" ht="15" hidden="false" customHeight="true" outlineLevel="0" collapsed="false">
      <c r="A41" s="107"/>
      <c r="B41" s="107"/>
      <c r="C41" s="107"/>
      <c r="D41" s="107"/>
      <c r="E41" s="107"/>
      <c r="F41" s="107"/>
      <c r="G41" s="107"/>
      <c r="H41" s="107"/>
      <c r="I41" s="107"/>
    </row>
    <row r="42" customFormat="false" ht="15" hidden="false" customHeight="true" outlineLevel="0" collapsed="false">
      <c r="A42" s="107"/>
      <c r="B42" s="107"/>
      <c r="C42" s="107"/>
      <c r="D42" s="107"/>
      <c r="E42" s="107"/>
      <c r="F42" s="107"/>
      <c r="G42" s="107"/>
      <c r="H42" s="107"/>
      <c r="I42" s="107"/>
    </row>
    <row r="43" customFormat="false" ht="15" hidden="false" customHeight="true" outlineLevel="0" collapsed="false">
      <c r="A43" s="107"/>
      <c r="B43" s="107"/>
      <c r="C43" s="107"/>
      <c r="D43" s="107"/>
      <c r="E43" s="107"/>
      <c r="F43" s="107"/>
      <c r="G43" s="107"/>
      <c r="H43" s="107"/>
      <c r="I43" s="107"/>
    </row>
    <row r="44" customFormat="false" ht="15" hidden="false" customHeight="true" outlineLevel="0" collapsed="false">
      <c r="A44" s="107"/>
      <c r="B44" s="107"/>
      <c r="C44" s="107"/>
      <c r="D44" s="107"/>
      <c r="E44" s="107"/>
      <c r="F44" s="107"/>
      <c r="G44" s="107"/>
      <c r="H44" s="107"/>
      <c r="I44" s="107"/>
    </row>
    <row r="45" customFormat="false" ht="15" hidden="false" customHeight="true" outlineLevel="0" collapsed="false">
      <c r="A45" s="107"/>
      <c r="B45" s="107"/>
      <c r="C45" s="107"/>
      <c r="D45" s="107"/>
      <c r="E45" s="107"/>
      <c r="F45" s="107"/>
      <c r="G45" s="107"/>
      <c r="H45" s="107"/>
      <c r="I45" s="107"/>
    </row>
    <row r="46" customFormat="false" ht="15" hidden="false" customHeight="true" outlineLevel="0" collapsed="false">
      <c r="A46" s="107"/>
      <c r="B46" s="107"/>
      <c r="C46" s="107"/>
      <c r="D46" s="107"/>
      <c r="E46" s="107"/>
      <c r="F46" s="107"/>
      <c r="G46" s="107"/>
      <c r="H46" s="107"/>
      <c r="I46" s="107"/>
    </row>
    <row r="47" customFormat="false" ht="15" hidden="false" customHeight="true" outlineLevel="0" collapsed="false">
      <c r="A47" s="107"/>
      <c r="B47" s="107"/>
      <c r="C47" s="107"/>
      <c r="D47" s="107"/>
      <c r="E47" s="107"/>
      <c r="F47" s="107"/>
      <c r="G47" s="107"/>
      <c r="H47" s="107"/>
      <c r="I47" s="107"/>
    </row>
    <row r="48" customFormat="false" ht="15" hidden="false" customHeight="true" outlineLevel="0" collapsed="false">
      <c r="A48" s="107"/>
      <c r="B48" s="107"/>
      <c r="C48" s="107"/>
      <c r="D48" s="107"/>
      <c r="E48" s="107"/>
      <c r="F48" s="107"/>
      <c r="G48" s="107"/>
      <c r="H48" s="107"/>
      <c r="I48" s="107"/>
    </row>
    <row r="49" customFormat="false" ht="15" hidden="false" customHeight="true" outlineLevel="0" collapsed="false">
      <c r="A49" s="107"/>
      <c r="B49" s="107"/>
      <c r="C49" s="107"/>
      <c r="D49" s="107"/>
      <c r="E49" s="107"/>
      <c r="F49" s="107"/>
      <c r="G49" s="107"/>
      <c r="H49" s="107"/>
      <c r="I49" s="107"/>
    </row>
  </sheetData>
  <mergeCells count="2">
    <mergeCell ref="A1:H1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6"/>
  </cols>
  <sheetData>
    <row r="1" customFormat="false" ht="15" hidden="false" customHeight="true" outlineLevel="0" collapsed="false">
      <c r="A1" s="3" t="s">
        <v>140</v>
      </c>
      <c r="B1" s="3"/>
      <c r="C1" s="3"/>
      <c r="D1" s="3"/>
      <c r="E1" s="3"/>
      <c r="F1" s="3"/>
    </row>
    <row r="2" customFormat="false" ht="21.75" hidden="false" customHeight="true" outlineLevel="0" collapsed="false">
      <c r="A2" s="14" t="s">
        <v>141</v>
      </c>
      <c r="B2" s="14" t="s">
        <v>142</v>
      </c>
      <c r="C2" s="14" t="s">
        <v>143</v>
      </c>
      <c r="D2" s="14" t="s">
        <v>144</v>
      </c>
      <c r="E2" s="14" t="s">
        <v>145</v>
      </c>
      <c r="F2" s="14" t="s">
        <v>146</v>
      </c>
    </row>
    <row r="3" customFormat="false" ht="15" hidden="false" customHeight="true" outlineLevel="0" collapsed="false">
      <c r="A3" s="129" t="n">
        <v>1</v>
      </c>
      <c r="B3" s="129" t="s">
        <v>147</v>
      </c>
      <c r="C3" s="69" t="n">
        <v>44296</v>
      </c>
      <c r="D3" s="69" t="n">
        <v>44298</v>
      </c>
      <c r="E3" s="57" t="s">
        <v>124</v>
      </c>
      <c r="F3" s="71" t="s">
        <v>148</v>
      </c>
    </row>
    <row r="4" customFormat="false" ht="15" hidden="false" customHeight="true" outlineLevel="0" collapsed="false">
      <c r="A4" s="18" t="n">
        <v>2</v>
      </c>
      <c r="B4" s="18" t="s">
        <v>149</v>
      </c>
      <c r="C4" s="19" t="n">
        <v>44326</v>
      </c>
      <c r="D4" s="19" t="n">
        <v>44326</v>
      </c>
      <c r="E4" s="18"/>
      <c r="F4" s="23"/>
    </row>
    <row r="5" customFormat="false" ht="15" hidden="false" customHeight="true" outlineLevel="0" collapsed="false">
      <c r="A5" s="97" t="n">
        <v>3</v>
      </c>
      <c r="B5" s="97" t="s">
        <v>150</v>
      </c>
      <c r="C5" s="130" t="n">
        <v>44357</v>
      </c>
      <c r="D5" s="130" t="n">
        <v>44357</v>
      </c>
      <c r="E5" s="97"/>
      <c r="F5" s="131"/>
    </row>
    <row r="6" customFormat="false" ht="15" hidden="false" customHeight="true" outlineLevel="0" collapsed="false">
      <c r="A6" s="129" t="n">
        <v>4</v>
      </c>
      <c r="B6" s="129" t="s">
        <v>151</v>
      </c>
      <c r="C6" s="69" t="n">
        <v>44387</v>
      </c>
      <c r="D6" s="69" t="n">
        <v>44389</v>
      </c>
      <c r="E6" s="57" t="s">
        <v>124</v>
      </c>
      <c r="F6" s="71" t="s">
        <v>148</v>
      </c>
    </row>
    <row r="7" customFormat="false" ht="15" hidden="false" customHeight="true" outlineLevel="0" collapsed="false">
      <c r="A7" s="97" t="n">
        <v>5</v>
      </c>
      <c r="B7" s="97" t="s">
        <v>152</v>
      </c>
      <c r="C7" s="130" t="n">
        <v>44418</v>
      </c>
      <c r="D7" s="130" t="n">
        <v>44418</v>
      </c>
      <c r="E7" s="97"/>
      <c r="F7" s="131"/>
    </row>
    <row r="8" customFormat="false" ht="15" hidden="false" customHeight="true" outlineLevel="0" collapsed="false">
      <c r="A8" s="18" t="n">
        <v>6</v>
      </c>
      <c r="B8" s="18" t="s">
        <v>153</v>
      </c>
      <c r="C8" s="19" t="n">
        <v>44449</v>
      </c>
      <c r="D8" s="19" t="n">
        <v>44449</v>
      </c>
      <c r="E8" s="18"/>
      <c r="F8" s="23"/>
    </row>
    <row r="9" customFormat="false" ht="15" hidden="false" customHeight="true" outlineLevel="0" collapsed="false">
      <c r="A9" s="129" t="n">
        <v>7</v>
      </c>
      <c r="B9" s="129" t="s">
        <v>154</v>
      </c>
      <c r="C9" s="69" t="n">
        <v>44479</v>
      </c>
      <c r="D9" s="69" t="n">
        <v>44480</v>
      </c>
      <c r="E9" s="57" t="s">
        <v>124</v>
      </c>
      <c r="F9" s="71" t="s">
        <v>155</v>
      </c>
    </row>
    <row r="10" customFormat="false" ht="15" hidden="false" customHeight="true" outlineLevel="0" collapsed="false">
      <c r="A10" s="18" t="n">
        <v>8</v>
      </c>
      <c r="B10" s="18" t="s">
        <v>156</v>
      </c>
      <c r="C10" s="19" t="n">
        <v>44510</v>
      </c>
      <c r="D10" s="19" t="n">
        <v>44510</v>
      </c>
      <c r="E10" s="18"/>
      <c r="F10" s="23"/>
    </row>
    <row r="11" customFormat="false" ht="15" hidden="false" customHeight="true" outlineLevel="0" collapsed="false">
      <c r="A11" s="97" t="n">
        <v>9</v>
      </c>
      <c r="B11" s="97" t="s">
        <v>157</v>
      </c>
      <c r="C11" s="130" t="n">
        <v>44540</v>
      </c>
      <c r="D11" s="130" t="n">
        <v>44540</v>
      </c>
      <c r="E11" s="97"/>
      <c r="F11" s="131"/>
    </row>
    <row r="12" customFormat="false" ht="15" hidden="false" customHeight="true" outlineLevel="0" collapsed="false">
      <c r="A12" s="18" t="n">
        <v>10</v>
      </c>
      <c r="B12" s="18" t="s">
        <v>158</v>
      </c>
      <c r="C12" s="19" t="n">
        <v>44571</v>
      </c>
      <c r="D12" s="19" t="n">
        <v>44571</v>
      </c>
      <c r="E12" s="18"/>
      <c r="F12" s="23"/>
    </row>
    <row r="13" customFormat="false" ht="15" hidden="false" customHeight="true" outlineLevel="0" collapsed="false">
      <c r="A13" s="97" t="n">
        <v>11</v>
      </c>
      <c r="B13" s="97" t="s">
        <v>159</v>
      </c>
      <c r="C13" s="130" t="n">
        <v>44602</v>
      </c>
      <c r="D13" s="130" t="n">
        <v>44602</v>
      </c>
      <c r="E13" s="97"/>
      <c r="F13" s="131"/>
    </row>
    <row r="14" customFormat="false" ht="15" hidden="false" customHeight="true" outlineLevel="0" collapsed="false">
      <c r="A14" s="18" t="n">
        <v>12</v>
      </c>
      <c r="B14" s="18" t="s">
        <v>160</v>
      </c>
      <c r="C14" s="19" t="n">
        <v>44630</v>
      </c>
      <c r="D14" s="19" t="n">
        <v>44630</v>
      </c>
      <c r="E14" s="18"/>
      <c r="F14" s="23"/>
    </row>
    <row r="15" customFormat="false" ht="15" hidden="false" customHeight="true" outlineLevel="0" collapsed="false">
      <c r="A15" s="129" t="n">
        <v>13</v>
      </c>
      <c r="B15" s="129" t="s">
        <v>121</v>
      </c>
      <c r="C15" s="69" t="n">
        <v>44661</v>
      </c>
      <c r="D15" s="69" t="n">
        <v>44662</v>
      </c>
      <c r="E15" s="57" t="s">
        <v>124</v>
      </c>
      <c r="F15" s="71" t="s">
        <v>155</v>
      </c>
    </row>
    <row r="16" customFormat="false" ht="15" hidden="false" customHeight="true" outlineLevel="0" collapsed="false">
      <c r="A16" s="18" t="n">
        <v>14</v>
      </c>
      <c r="B16" s="18" t="s">
        <v>161</v>
      </c>
      <c r="C16" s="19" t="n">
        <v>44691</v>
      </c>
      <c r="D16" s="19" t="n">
        <v>44691</v>
      </c>
      <c r="E16" s="18"/>
      <c r="F16" s="23"/>
    </row>
    <row r="17" customFormat="false" ht="15" hidden="false" customHeight="true" outlineLevel="0" collapsed="false">
      <c r="A17" s="97" t="n">
        <v>15</v>
      </c>
      <c r="B17" s="97" t="s">
        <v>162</v>
      </c>
      <c r="C17" s="130" t="n">
        <v>44722</v>
      </c>
      <c r="D17" s="130" t="n">
        <v>44722</v>
      </c>
      <c r="E17" s="97"/>
      <c r="F17" s="131"/>
    </row>
    <row r="18" customFormat="false" ht="15" hidden="false" customHeight="true" outlineLevel="0" collapsed="false">
      <c r="A18" s="129" t="n">
        <v>16</v>
      </c>
      <c r="B18" s="129" t="s">
        <v>163</v>
      </c>
      <c r="C18" s="69" t="n">
        <v>44752</v>
      </c>
      <c r="D18" s="69" t="n">
        <v>44753</v>
      </c>
      <c r="E18" s="57" t="s">
        <v>124</v>
      </c>
      <c r="F18" s="71" t="s">
        <v>155</v>
      </c>
    </row>
    <row r="19" customFormat="false" ht="15" hidden="false" customHeight="true" outlineLevel="0" collapsed="false">
      <c r="A19" s="97" t="n">
        <v>17</v>
      </c>
      <c r="B19" s="97" t="s">
        <v>164</v>
      </c>
      <c r="C19" s="130" t="n">
        <v>44783</v>
      </c>
      <c r="D19" s="130" t="n">
        <v>44783</v>
      </c>
      <c r="E19" s="97"/>
      <c r="F19" s="131"/>
    </row>
    <row r="20" customFormat="false" ht="15" hidden="false" customHeight="true" outlineLevel="0" collapsed="false">
      <c r="A20" s="129" t="n">
        <v>18</v>
      </c>
      <c r="B20" s="129" t="s">
        <v>165</v>
      </c>
      <c r="C20" s="69" t="n">
        <v>44814</v>
      </c>
      <c r="D20" s="69" t="n">
        <v>44816</v>
      </c>
      <c r="E20" s="57" t="s">
        <v>124</v>
      </c>
      <c r="F20" s="71" t="s">
        <v>148</v>
      </c>
    </row>
    <row r="21" customFormat="false" ht="15" hidden="false" customHeight="true" outlineLevel="0" collapsed="false">
      <c r="A21" s="97" t="n">
        <v>19</v>
      </c>
      <c r="B21" s="97" t="s">
        <v>166</v>
      </c>
      <c r="C21" s="130" t="n">
        <v>44844</v>
      </c>
      <c r="D21" s="130" t="n">
        <v>44844</v>
      </c>
      <c r="E21" s="97"/>
      <c r="F21" s="131"/>
    </row>
    <row r="22" customFormat="false" ht="15" hidden="false" customHeight="true" outlineLevel="0" collapsed="false">
      <c r="A22" s="18" t="n">
        <v>20</v>
      </c>
      <c r="B22" s="18" t="s">
        <v>167</v>
      </c>
      <c r="C22" s="19" t="n">
        <v>44875</v>
      </c>
      <c r="D22" s="19" t="n">
        <v>44875</v>
      </c>
      <c r="E22" s="18"/>
      <c r="F22" s="23"/>
    </row>
    <row r="23" customFormat="false" ht="15" hidden="false" customHeight="true" outlineLevel="0" collapsed="false">
      <c r="A23" s="129" t="n">
        <v>21</v>
      </c>
      <c r="B23" s="129" t="s">
        <v>168</v>
      </c>
      <c r="C23" s="69" t="n">
        <v>44905</v>
      </c>
      <c r="D23" s="69" t="n">
        <v>44907</v>
      </c>
      <c r="E23" s="57" t="s">
        <v>124</v>
      </c>
      <c r="F23" s="71" t="s">
        <v>148</v>
      </c>
    </row>
    <row r="24" customFormat="false" ht="15" hidden="false" customHeight="true" outlineLevel="0" collapsed="false">
      <c r="A24" s="18" t="n">
        <v>22</v>
      </c>
      <c r="B24" s="18" t="s">
        <v>169</v>
      </c>
      <c r="C24" s="19" t="n">
        <v>44936</v>
      </c>
      <c r="D24" s="19" t="n">
        <v>44936</v>
      </c>
      <c r="E24" s="18"/>
      <c r="F24" s="23"/>
    </row>
    <row r="25" customFormat="false" ht="15" hidden="false" customHeight="true" outlineLevel="0" collapsed="false">
      <c r="A25" s="97" t="n">
        <v>23</v>
      </c>
      <c r="B25" s="97" t="s">
        <v>170</v>
      </c>
      <c r="C25" s="130" t="n">
        <v>44967</v>
      </c>
      <c r="D25" s="130" t="n">
        <v>44967</v>
      </c>
      <c r="E25" s="97"/>
      <c r="F25" s="131"/>
    </row>
    <row r="26" customFormat="false" ht="15" hidden="false" customHeight="true" outlineLevel="0" collapsed="false">
      <c r="A26" s="18" t="n">
        <v>24</v>
      </c>
      <c r="B26" s="18" t="s">
        <v>171</v>
      </c>
      <c r="C26" s="19" t="n">
        <v>44995</v>
      </c>
      <c r="D26" s="19" t="n">
        <v>44995</v>
      </c>
      <c r="E26" s="18"/>
      <c r="F26" s="23"/>
    </row>
    <row r="27" customFormat="false" ht="15" hidden="false" customHeight="true" outlineLevel="0" collapsed="false">
      <c r="A27" s="97" t="n">
        <v>25</v>
      </c>
      <c r="B27" s="97" t="s">
        <v>123</v>
      </c>
      <c r="C27" s="130" t="n">
        <v>45026</v>
      </c>
      <c r="D27" s="130" t="n">
        <v>45026</v>
      </c>
      <c r="E27" s="97"/>
      <c r="F27" s="131"/>
    </row>
    <row r="28" customFormat="false" ht="15" hidden="false" customHeight="true" outlineLevel="0" collapsed="false">
      <c r="A28" s="18" t="n">
        <v>26</v>
      </c>
      <c r="B28" s="18" t="s">
        <v>172</v>
      </c>
      <c r="C28" s="19" t="n">
        <v>45056</v>
      </c>
      <c r="D28" s="19" t="n">
        <v>45056</v>
      </c>
      <c r="E28" s="18"/>
      <c r="F28" s="23"/>
    </row>
    <row r="29" customFormat="false" ht="15" hidden="false" customHeight="true" outlineLevel="0" collapsed="false">
      <c r="A29" s="129" t="n">
        <v>27</v>
      </c>
      <c r="B29" s="129" t="s">
        <v>173</v>
      </c>
      <c r="C29" s="69" t="n">
        <v>45087</v>
      </c>
      <c r="D29" s="69" t="n">
        <v>45089</v>
      </c>
      <c r="E29" s="57" t="s">
        <v>124</v>
      </c>
      <c r="F29" s="71" t="s">
        <v>148</v>
      </c>
    </row>
    <row r="30" customFormat="false" ht="15" hidden="false" customHeight="true" outlineLevel="0" collapsed="false">
      <c r="A30" s="18" t="n">
        <v>28</v>
      </c>
      <c r="B30" s="18" t="s">
        <v>174</v>
      </c>
      <c r="C30" s="19" t="n">
        <v>45117</v>
      </c>
      <c r="D30" s="19" t="n">
        <v>45117</v>
      </c>
      <c r="E30" s="18"/>
      <c r="F30" s="23"/>
    </row>
    <row r="31" customFormat="false" ht="15" hidden="false" customHeight="true" outlineLevel="0" collapsed="false">
      <c r="A31" s="97" t="n">
        <v>29</v>
      </c>
      <c r="B31" s="97" t="s">
        <v>175</v>
      </c>
      <c r="C31" s="130" t="n">
        <v>45148</v>
      </c>
      <c r="D31" s="130" t="n">
        <v>45148</v>
      </c>
      <c r="E31" s="97"/>
      <c r="F31" s="131"/>
    </row>
    <row r="32" customFormat="false" ht="15" hidden="false" customHeight="true" outlineLevel="0" collapsed="false">
      <c r="A32" s="129" t="n">
        <v>30</v>
      </c>
      <c r="B32" s="129" t="s">
        <v>176</v>
      </c>
      <c r="C32" s="69" t="n">
        <v>45179</v>
      </c>
      <c r="D32" s="69" t="n">
        <v>45180</v>
      </c>
      <c r="E32" s="57" t="s">
        <v>124</v>
      </c>
      <c r="F32" s="71" t="s">
        <v>155</v>
      </c>
    </row>
    <row r="33" customFormat="false" ht="15" hidden="false" customHeight="true" outlineLevel="0" collapsed="false">
      <c r="A33" s="97" t="n">
        <v>31</v>
      </c>
      <c r="B33" s="97" t="s">
        <v>177</v>
      </c>
      <c r="C33" s="130" t="n">
        <v>45209</v>
      </c>
      <c r="D33" s="130" t="n">
        <v>45209</v>
      </c>
      <c r="E33" s="97"/>
      <c r="F33" s="131"/>
    </row>
    <row r="34" customFormat="false" ht="15" hidden="false" customHeight="true" outlineLevel="0" collapsed="false">
      <c r="A34" s="18" t="n">
        <v>32</v>
      </c>
      <c r="B34" s="18" t="s">
        <v>178</v>
      </c>
      <c r="C34" s="19" t="n">
        <v>45240</v>
      </c>
      <c r="D34" s="19" t="n">
        <v>45240</v>
      </c>
      <c r="E34" s="18"/>
      <c r="F34" s="23"/>
    </row>
    <row r="35" customFormat="false" ht="15" hidden="false" customHeight="true" outlineLevel="0" collapsed="false">
      <c r="A35" s="129" t="n">
        <v>33</v>
      </c>
      <c r="B35" s="129" t="s">
        <v>179</v>
      </c>
      <c r="C35" s="69" t="n">
        <v>45270</v>
      </c>
      <c r="D35" s="69" t="n">
        <v>45271</v>
      </c>
      <c r="E35" s="57" t="s">
        <v>124</v>
      </c>
      <c r="F35" s="71" t="s">
        <v>155</v>
      </c>
    </row>
    <row r="36" customFormat="false" ht="15" hidden="false" customHeight="true" outlineLevel="0" collapsed="false">
      <c r="A36" s="18" t="n">
        <v>34</v>
      </c>
      <c r="B36" s="18" t="s">
        <v>180</v>
      </c>
      <c r="C36" s="19" t="n">
        <v>45301</v>
      </c>
      <c r="D36" s="19" t="n">
        <v>45301</v>
      </c>
      <c r="E36" s="18"/>
      <c r="F36" s="23"/>
    </row>
    <row r="37" customFormat="false" ht="15" hidden="false" customHeight="true" outlineLevel="0" collapsed="false">
      <c r="A37" s="129" t="n">
        <v>35</v>
      </c>
      <c r="B37" s="129" t="s">
        <v>181</v>
      </c>
      <c r="C37" s="69" t="n">
        <v>45332</v>
      </c>
      <c r="D37" s="69" t="n">
        <v>45334</v>
      </c>
      <c r="E37" s="57" t="s">
        <v>124</v>
      </c>
      <c r="F37" s="71" t="s">
        <v>148</v>
      </c>
    </row>
    <row r="38" customFormat="false" ht="15" hidden="false" customHeight="true" outlineLevel="0" collapsed="false">
      <c r="A38" s="129" t="n">
        <v>36</v>
      </c>
      <c r="B38" s="129" t="s">
        <v>182</v>
      </c>
      <c r="C38" s="69" t="n">
        <v>45361</v>
      </c>
      <c r="D38" s="69" t="n">
        <v>45362</v>
      </c>
      <c r="E38" s="57" t="s">
        <v>124</v>
      </c>
      <c r="F38" s="71" t="s">
        <v>155</v>
      </c>
    </row>
    <row r="39" customFormat="false" ht="15" hidden="false" customHeight="true" outlineLevel="0" collapsed="false">
      <c r="A39" s="97" t="n">
        <v>37</v>
      </c>
      <c r="B39" s="97" t="s">
        <v>125</v>
      </c>
      <c r="C39" s="130" t="n">
        <v>45392</v>
      </c>
      <c r="D39" s="130" t="n">
        <v>45392</v>
      </c>
      <c r="E39" s="97"/>
      <c r="F39" s="131"/>
    </row>
    <row r="40" customFormat="false" ht="15" hidden="false" customHeight="true" outlineLevel="0" collapsed="false">
      <c r="A40" s="18" t="n">
        <v>38</v>
      </c>
      <c r="B40" s="18" t="s">
        <v>183</v>
      </c>
      <c r="C40" s="19" t="n">
        <v>45422</v>
      </c>
      <c r="D40" s="19" t="n">
        <v>45422</v>
      </c>
      <c r="E40" s="18"/>
      <c r="F40" s="23"/>
    </row>
    <row r="41" customFormat="false" ht="15" hidden="false" customHeight="true" outlineLevel="0" collapsed="false">
      <c r="A41" s="97" t="n">
        <v>39</v>
      </c>
      <c r="B41" s="97" t="s">
        <v>184</v>
      </c>
      <c r="C41" s="130" t="n">
        <v>45453</v>
      </c>
      <c r="D41" s="130" t="n">
        <v>45453</v>
      </c>
      <c r="E41" s="97"/>
      <c r="F41" s="131"/>
    </row>
    <row r="42" customFormat="false" ht="15" hidden="false" customHeight="true" outlineLevel="0" collapsed="false">
      <c r="A42" s="18" t="n">
        <v>40</v>
      </c>
      <c r="B42" s="18" t="s">
        <v>185</v>
      </c>
      <c r="C42" s="19" t="n">
        <v>45483</v>
      </c>
      <c r="D42" s="19" t="n">
        <v>45483</v>
      </c>
      <c r="E42" s="18"/>
      <c r="F42" s="23"/>
    </row>
    <row r="43" customFormat="false" ht="15" hidden="false" customHeight="true" outlineLevel="0" collapsed="false">
      <c r="A43" s="129" t="n">
        <v>41</v>
      </c>
      <c r="B43" s="129" t="s">
        <v>186</v>
      </c>
      <c r="C43" s="69" t="n">
        <v>45514</v>
      </c>
      <c r="D43" s="69" t="n">
        <v>45516</v>
      </c>
      <c r="E43" s="57" t="s">
        <v>124</v>
      </c>
      <c r="F43" s="71" t="s">
        <v>148</v>
      </c>
    </row>
    <row r="44" customFormat="false" ht="15" hidden="false" customHeight="true" outlineLevel="0" collapsed="false">
      <c r="A44" s="18" t="n">
        <v>42</v>
      </c>
      <c r="B44" s="18" t="s">
        <v>187</v>
      </c>
      <c r="C44" s="19" t="n">
        <v>45545</v>
      </c>
      <c r="D44" s="19" t="n">
        <v>45545</v>
      </c>
      <c r="E44" s="18"/>
      <c r="F44" s="23"/>
    </row>
    <row r="45" customFormat="false" ht="15" hidden="false" customHeight="true" outlineLevel="0" collapsed="false">
      <c r="A45" s="97" t="n">
        <v>43</v>
      </c>
      <c r="B45" s="97" t="s">
        <v>188</v>
      </c>
      <c r="C45" s="130" t="n">
        <v>45575</v>
      </c>
      <c r="D45" s="130" t="n">
        <v>45575</v>
      </c>
      <c r="E45" s="97"/>
      <c r="F45" s="131"/>
    </row>
    <row r="46" customFormat="false" ht="15" hidden="false" customHeight="true" outlineLevel="0" collapsed="false">
      <c r="A46" s="129" t="n">
        <v>44</v>
      </c>
      <c r="B46" s="129" t="s">
        <v>189</v>
      </c>
      <c r="C46" s="69" t="n">
        <v>45606</v>
      </c>
      <c r="D46" s="69" t="n">
        <v>45607</v>
      </c>
      <c r="E46" s="57" t="s">
        <v>124</v>
      </c>
      <c r="F46" s="71" t="s">
        <v>155</v>
      </c>
    </row>
    <row r="47" customFormat="false" ht="15" hidden="false" customHeight="true" outlineLevel="0" collapsed="false">
      <c r="A47" s="97" t="n">
        <v>45</v>
      </c>
      <c r="B47" s="97" t="s">
        <v>190</v>
      </c>
      <c r="C47" s="130" t="n">
        <v>45636</v>
      </c>
      <c r="D47" s="130" t="n">
        <v>45636</v>
      </c>
      <c r="E47" s="97"/>
      <c r="F47" s="131"/>
    </row>
    <row r="48" customFormat="false" ht="15" hidden="false" customHeight="true" outlineLevel="0" collapsed="false">
      <c r="A48" s="18" t="n">
        <v>46</v>
      </c>
      <c r="B48" s="18" t="s">
        <v>191</v>
      </c>
      <c r="C48" s="19" t="n">
        <v>45667</v>
      </c>
      <c r="D48" s="19" t="n">
        <v>45667</v>
      </c>
      <c r="E48" s="18"/>
      <c r="F48" s="23"/>
    </row>
    <row r="49" customFormat="false" ht="15" hidden="false" customHeight="true" outlineLevel="0" collapsed="false">
      <c r="A49" s="97" t="n">
        <v>47</v>
      </c>
      <c r="B49" s="97" t="s">
        <v>192</v>
      </c>
      <c r="C49" s="130" t="n">
        <v>45698</v>
      </c>
      <c r="D49" s="130" t="n">
        <v>45698</v>
      </c>
      <c r="E49" s="97"/>
      <c r="F49" s="131"/>
    </row>
    <row r="50" customFormat="false" ht="15" hidden="false" customHeight="true" outlineLevel="0" collapsed="false">
      <c r="A50" s="18" t="n">
        <v>48</v>
      </c>
      <c r="B50" s="18" t="s">
        <v>193</v>
      </c>
      <c r="C50" s="19" t="n">
        <v>45726</v>
      </c>
      <c r="D50" s="19" t="n">
        <v>45726</v>
      </c>
      <c r="E50" s="18"/>
      <c r="F50" s="23"/>
    </row>
    <row r="51" customFormat="false" ht="15" hidden="false" customHeight="true" outlineLevel="0" collapsed="false">
      <c r="A51" s="97" t="n">
        <v>49</v>
      </c>
      <c r="B51" s="97" t="s">
        <v>126</v>
      </c>
      <c r="C51" s="130" t="n">
        <v>45757</v>
      </c>
      <c r="D51" s="130" t="n">
        <v>45757</v>
      </c>
      <c r="E51" s="97"/>
      <c r="F51" s="131"/>
    </row>
    <row r="52" customFormat="false" ht="15" hidden="false" customHeight="true" outlineLevel="0" collapsed="false">
      <c r="A52" s="129" t="n">
        <v>50</v>
      </c>
      <c r="B52" s="129" t="s">
        <v>194</v>
      </c>
      <c r="C52" s="69" t="n">
        <v>45787</v>
      </c>
      <c r="D52" s="69" t="n">
        <v>45789</v>
      </c>
      <c r="E52" s="57" t="s">
        <v>124</v>
      </c>
      <c r="F52" s="71" t="s">
        <v>148</v>
      </c>
    </row>
    <row r="53" customFormat="false" ht="15" hidden="false" customHeight="true" outlineLevel="0" collapsed="false">
      <c r="A53" s="97" t="n">
        <v>51</v>
      </c>
      <c r="B53" s="97" t="s">
        <v>195</v>
      </c>
      <c r="C53" s="130" t="n">
        <v>45818</v>
      </c>
      <c r="D53" s="130" t="n">
        <v>45818</v>
      </c>
      <c r="E53" s="97"/>
      <c r="F53" s="131"/>
    </row>
    <row r="54" customFormat="false" ht="15" hidden="false" customHeight="true" outlineLevel="0" collapsed="false">
      <c r="A54" s="18" t="n">
        <v>52</v>
      </c>
      <c r="B54" s="18" t="s">
        <v>196</v>
      </c>
      <c r="C54" s="19" t="n">
        <v>45848</v>
      </c>
      <c r="D54" s="19" t="n">
        <v>45848</v>
      </c>
      <c r="E54" s="18"/>
      <c r="F54" s="23"/>
    </row>
    <row r="55" customFormat="false" ht="15" hidden="false" customHeight="true" outlineLevel="0" collapsed="false">
      <c r="A55" s="129" t="n">
        <v>53</v>
      </c>
      <c r="B55" s="129" t="s">
        <v>197</v>
      </c>
      <c r="C55" s="69" t="n">
        <v>45879</v>
      </c>
      <c r="D55" s="69" t="n">
        <v>45880</v>
      </c>
      <c r="E55" s="57" t="s">
        <v>124</v>
      </c>
      <c r="F55" s="71" t="s">
        <v>155</v>
      </c>
    </row>
    <row r="56" customFormat="false" ht="15" hidden="false" customHeight="true" outlineLevel="0" collapsed="false">
      <c r="A56" s="18" t="n">
        <v>54</v>
      </c>
      <c r="B56" s="18" t="s">
        <v>198</v>
      </c>
      <c r="C56" s="19" t="n">
        <v>45910</v>
      </c>
      <c r="D56" s="19" t="n">
        <v>45910</v>
      </c>
      <c r="E56" s="18"/>
      <c r="F56" s="23"/>
    </row>
    <row r="57" customFormat="false" ht="15" hidden="false" customHeight="true" outlineLevel="0" collapsed="false">
      <c r="A57" s="97" t="n">
        <v>55</v>
      </c>
      <c r="B57" s="97" t="s">
        <v>199</v>
      </c>
      <c r="C57" s="130" t="n">
        <v>45940</v>
      </c>
      <c r="D57" s="130" t="n">
        <v>45940</v>
      </c>
      <c r="E57" s="97"/>
      <c r="F57" s="131"/>
    </row>
    <row r="58" customFormat="false" ht="15" hidden="false" customHeight="true" outlineLevel="0" collapsed="false">
      <c r="A58" s="18" t="n">
        <v>56</v>
      </c>
      <c r="B58" s="18" t="s">
        <v>200</v>
      </c>
      <c r="C58" s="19" t="n">
        <v>45971</v>
      </c>
      <c r="D58" s="19" t="n">
        <v>45971</v>
      </c>
      <c r="E58" s="18"/>
      <c r="F58" s="23"/>
    </row>
    <row r="59" customFormat="false" ht="15" hidden="false" customHeight="true" outlineLevel="0" collapsed="false">
      <c r="A59" s="97" t="n">
        <v>57</v>
      </c>
      <c r="B59" s="97" t="s">
        <v>201</v>
      </c>
      <c r="C59" s="130" t="n">
        <v>46001</v>
      </c>
      <c r="D59" s="130" t="n">
        <v>46001</v>
      </c>
      <c r="E59" s="97"/>
      <c r="F59" s="131"/>
    </row>
    <row r="60" customFormat="false" ht="15" hidden="false" customHeight="true" outlineLevel="0" collapsed="false">
      <c r="A60" s="129" t="n">
        <v>58</v>
      </c>
      <c r="B60" s="129" t="s">
        <v>202</v>
      </c>
      <c r="C60" s="69" t="n">
        <v>46032</v>
      </c>
      <c r="D60" s="69" t="n">
        <v>46034</v>
      </c>
      <c r="E60" s="57" t="s">
        <v>124</v>
      </c>
      <c r="F60" s="71" t="s">
        <v>148</v>
      </c>
    </row>
    <row r="61" customFormat="false" ht="15" hidden="false" customHeight="true" outlineLevel="0" collapsed="false">
      <c r="A61" s="97" t="n">
        <v>59</v>
      </c>
      <c r="B61" s="97" t="s">
        <v>203</v>
      </c>
      <c r="C61" s="130" t="n">
        <v>46063</v>
      </c>
      <c r="D61" s="130" t="n">
        <v>46063</v>
      </c>
      <c r="E61" s="97"/>
      <c r="F61" s="131"/>
    </row>
    <row r="62" customFormat="false" ht="15" hidden="false" customHeight="true" outlineLevel="0" collapsed="false">
      <c r="A62" s="18" t="n">
        <v>60</v>
      </c>
      <c r="B62" s="18" t="s">
        <v>204</v>
      </c>
      <c r="C62" s="19" t="n">
        <v>46091</v>
      </c>
      <c r="D62" s="19" t="n">
        <v>46091</v>
      </c>
      <c r="E62" s="18"/>
      <c r="F62" s="23"/>
    </row>
    <row r="63" customFormat="false" ht="15" hidden="false" customHeight="true" outlineLevel="0" collapsed="false">
      <c r="A63" s="97" t="n">
        <v>61</v>
      </c>
      <c r="B63" s="97" t="s">
        <v>127</v>
      </c>
      <c r="C63" s="130" t="n">
        <v>46122</v>
      </c>
      <c r="D63" s="130" t="n">
        <v>46122</v>
      </c>
      <c r="E63" s="97"/>
      <c r="F63" s="131"/>
    </row>
    <row r="64" customFormat="false" ht="15" hidden="false" customHeight="true" outlineLevel="0" collapsed="false">
      <c r="A64" s="129" t="n">
        <v>62</v>
      </c>
      <c r="B64" s="129" t="s">
        <v>205</v>
      </c>
      <c r="C64" s="69" t="n">
        <v>46152</v>
      </c>
      <c r="D64" s="69" t="n">
        <v>46153</v>
      </c>
      <c r="E64" s="57" t="s">
        <v>124</v>
      </c>
      <c r="F64" s="71" t="s">
        <v>155</v>
      </c>
    </row>
    <row r="65" customFormat="false" ht="15" hidden="false" customHeight="true" outlineLevel="0" collapsed="false">
      <c r="A65" s="97" t="n">
        <v>63</v>
      </c>
      <c r="B65" s="97" t="s">
        <v>206</v>
      </c>
      <c r="C65" s="130" t="n">
        <v>46183</v>
      </c>
      <c r="D65" s="130" t="n">
        <v>46183</v>
      </c>
      <c r="E65" s="97"/>
      <c r="F65" s="131"/>
    </row>
    <row r="66" customFormat="false" ht="15" hidden="false" customHeight="true" outlineLevel="0" collapsed="false">
      <c r="A66" s="18" t="n">
        <v>64</v>
      </c>
      <c r="B66" s="18" t="s">
        <v>207</v>
      </c>
      <c r="C66" s="19" t="n">
        <v>46213</v>
      </c>
      <c r="D66" s="19" t="n">
        <v>46213</v>
      </c>
      <c r="E66" s="18"/>
      <c r="F66" s="23"/>
    </row>
    <row r="67" customFormat="false" ht="15" hidden="false" customHeight="true" outlineLevel="0" collapsed="false">
      <c r="A67" s="97" t="n">
        <v>65</v>
      </c>
      <c r="B67" s="97" t="s">
        <v>208</v>
      </c>
      <c r="C67" s="130" t="n">
        <v>46244</v>
      </c>
      <c r="D67" s="130" t="n">
        <v>46244</v>
      </c>
      <c r="E67" s="97"/>
      <c r="F67" s="131"/>
    </row>
    <row r="68" customFormat="false" ht="15" hidden="false" customHeight="true" outlineLevel="0" collapsed="false">
      <c r="A68" s="18" t="n">
        <v>66</v>
      </c>
      <c r="B68" s="18" t="s">
        <v>209</v>
      </c>
      <c r="C68" s="19" t="n">
        <v>46275</v>
      </c>
      <c r="D68" s="19" t="n">
        <v>46275</v>
      </c>
      <c r="E68" s="18"/>
      <c r="F68" s="23"/>
    </row>
    <row r="69" customFormat="false" ht="15" hidden="false" customHeight="true" outlineLevel="0" collapsed="false">
      <c r="A69" s="129" t="n">
        <v>67</v>
      </c>
      <c r="B69" s="129" t="s">
        <v>210</v>
      </c>
      <c r="C69" s="69" t="n">
        <v>46305</v>
      </c>
      <c r="D69" s="69" t="n">
        <v>46308</v>
      </c>
      <c r="E69" s="57" t="s">
        <v>124</v>
      </c>
      <c r="F69" s="71" t="s">
        <v>148</v>
      </c>
    </row>
    <row r="70" customFormat="false" ht="15" hidden="false" customHeight="true" outlineLevel="0" collapsed="false">
      <c r="A70" s="18" t="n">
        <v>68</v>
      </c>
      <c r="B70" s="18" t="s">
        <v>211</v>
      </c>
      <c r="C70" s="19" t="n">
        <v>46336</v>
      </c>
      <c r="D70" s="19" t="n">
        <v>46336</v>
      </c>
      <c r="E70" s="18"/>
      <c r="F70" s="23"/>
    </row>
    <row r="71" customFormat="false" ht="15" hidden="false" customHeight="true" outlineLevel="0" collapsed="false">
      <c r="A71" s="97" t="n">
        <v>69</v>
      </c>
      <c r="B71" s="97" t="s">
        <v>212</v>
      </c>
      <c r="C71" s="130" t="n">
        <v>46366</v>
      </c>
      <c r="D71" s="130" t="n">
        <v>46366</v>
      </c>
      <c r="E71" s="97"/>
      <c r="F71" s="131"/>
    </row>
    <row r="72" customFormat="false" ht="15" hidden="false" customHeight="true" outlineLevel="0" collapsed="false">
      <c r="A72" s="129" t="n">
        <v>70</v>
      </c>
      <c r="B72" s="129" t="s">
        <v>213</v>
      </c>
      <c r="C72" s="69" t="n">
        <v>46397</v>
      </c>
      <c r="D72" s="69" t="n">
        <v>46398</v>
      </c>
      <c r="E72" s="57" t="s">
        <v>124</v>
      </c>
      <c r="F72" s="71" t="s">
        <v>155</v>
      </c>
    </row>
    <row r="73" customFormat="false" ht="15" hidden="false" customHeight="true" outlineLevel="0" collapsed="false">
      <c r="A73" s="129" t="n">
        <v>71</v>
      </c>
      <c r="B73" s="129" t="s">
        <v>214</v>
      </c>
      <c r="C73" s="69" t="n">
        <v>46428</v>
      </c>
      <c r="D73" s="69" t="n">
        <v>46429</v>
      </c>
      <c r="E73" s="57" t="s">
        <v>124</v>
      </c>
      <c r="F73" s="71" t="s">
        <v>215</v>
      </c>
    </row>
    <row r="74" customFormat="false" ht="15" hidden="false" customHeight="true" outlineLevel="0" collapsed="false">
      <c r="A74" s="18" t="n">
        <v>72</v>
      </c>
      <c r="B74" s="18" t="s">
        <v>216</v>
      </c>
      <c r="C74" s="19" t="n">
        <v>46456</v>
      </c>
      <c r="D74" s="19" t="n">
        <v>46456</v>
      </c>
      <c r="E74" s="18"/>
      <c r="F74" s="23"/>
    </row>
    <row r="75" customFormat="false" ht="15" hidden="false" customHeight="true" outlineLevel="0" collapsed="false">
      <c r="A75" s="129" t="n">
        <v>73</v>
      </c>
      <c r="B75" s="129" t="s">
        <v>128</v>
      </c>
      <c r="C75" s="69" t="n">
        <v>46487</v>
      </c>
      <c r="D75" s="69" t="n">
        <v>46489</v>
      </c>
      <c r="E75" s="57" t="s">
        <v>124</v>
      </c>
      <c r="F75" s="71" t="s">
        <v>148</v>
      </c>
    </row>
    <row r="76" customFormat="false" ht="15" hidden="false" customHeight="true" outlineLevel="0" collapsed="false">
      <c r="A76" s="18" t="n">
        <v>74</v>
      </c>
      <c r="B76" s="18" t="s">
        <v>217</v>
      </c>
      <c r="C76" s="19" t="n">
        <v>46517</v>
      </c>
      <c r="D76" s="19" t="n">
        <v>46517</v>
      </c>
      <c r="E76" s="18"/>
      <c r="F76" s="23"/>
    </row>
    <row r="77" customFormat="false" ht="15" hidden="false" customHeight="true" outlineLevel="0" collapsed="false">
      <c r="A77" s="97" t="n">
        <v>75</v>
      </c>
      <c r="B77" s="97" t="s">
        <v>218</v>
      </c>
      <c r="C77" s="130" t="n">
        <v>46548</v>
      </c>
      <c r="D77" s="130" t="n">
        <v>46548</v>
      </c>
      <c r="E77" s="97"/>
      <c r="F77" s="131"/>
    </row>
    <row r="78" customFormat="false" ht="15" hidden="false" customHeight="true" outlineLevel="0" collapsed="false">
      <c r="A78" s="129" t="n">
        <v>76</v>
      </c>
      <c r="B78" s="129" t="s">
        <v>219</v>
      </c>
      <c r="C78" s="69" t="n">
        <v>46578</v>
      </c>
      <c r="D78" s="69" t="n">
        <v>46580</v>
      </c>
      <c r="E78" s="57" t="s">
        <v>124</v>
      </c>
      <c r="F78" s="71" t="s">
        <v>148</v>
      </c>
    </row>
    <row r="79" customFormat="false" ht="15" hidden="false" customHeight="true" outlineLevel="0" collapsed="false">
      <c r="A79" s="97" t="n">
        <v>77</v>
      </c>
      <c r="B79" s="97" t="s">
        <v>220</v>
      </c>
      <c r="C79" s="130" t="n">
        <v>46609</v>
      </c>
      <c r="D79" s="130" t="n">
        <v>46609</v>
      </c>
      <c r="E79" s="97"/>
      <c r="F79" s="131"/>
    </row>
    <row r="80" customFormat="false" ht="15" hidden="false" customHeight="true" outlineLevel="0" collapsed="false">
      <c r="A80" s="18" t="n">
        <v>78</v>
      </c>
      <c r="B80" s="18" t="s">
        <v>221</v>
      </c>
      <c r="C80" s="19" t="n">
        <v>46640</v>
      </c>
      <c r="D80" s="19" t="n">
        <v>46640</v>
      </c>
      <c r="E80" s="18"/>
      <c r="F80" s="23"/>
    </row>
    <row r="81" customFormat="false" ht="15" hidden="false" customHeight="true" outlineLevel="0" collapsed="false">
      <c r="A81" s="129" t="n">
        <v>79</v>
      </c>
      <c r="B81" s="129" t="s">
        <v>222</v>
      </c>
      <c r="C81" s="69" t="n">
        <v>46670</v>
      </c>
      <c r="D81" s="69" t="n">
        <v>46671</v>
      </c>
      <c r="E81" s="57" t="s">
        <v>124</v>
      </c>
      <c r="F81" s="71" t="s">
        <v>155</v>
      </c>
    </row>
    <row r="82" customFormat="false" ht="15" hidden="false" customHeight="true" outlineLevel="0" collapsed="false">
      <c r="A82" s="18" t="n">
        <v>80</v>
      </c>
      <c r="B82" s="18" t="s">
        <v>223</v>
      </c>
      <c r="C82" s="19" t="n">
        <v>46701</v>
      </c>
      <c r="D82" s="19" t="n">
        <v>46701</v>
      </c>
      <c r="E82" s="18"/>
      <c r="F82" s="23"/>
    </row>
    <row r="83" customFormat="false" ht="15" hidden="false" customHeight="true" outlineLevel="0" collapsed="false">
      <c r="A83" s="97" t="n">
        <v>81</v>
      </c>
      <c r="B83" s="97" t="s">
        <v>224</v>
      </c>
      <c r="C83" s="130" t="n">
        <v>46731</v>
      </c>
      <c r="D83" s="130" t="n">
        <v>46731</v>
      </c>
      <c r="E83" s="97"/>
      <c r="F83" s="131"/>
    </row>
    <row r="84" customFormat="false" ht="15" hidden="false" customHeight="true" outlineLevel="0" collapsed="false">
      <c r="A84" s="18" t="n">
        <v>82</v>
      </c>
      <c r="B84" s="18" t="s">
        <v>225</v>
      </c>
      <c r="C84" s="19" t="n">
        <v>46762</v>
      </c>
      <c r="D84" s="19" t="n">
        <v>46762</v>
      </c>
      <c r="E84" s="18"/>
      <c r="F84" s="23"/>
    </row>
    <row r="85" customFormat="false" ht="15" hidden="false" customHeight="true" outlineLevel="0" collapsed="false">
      <c r="A85" s="97" t="n">
        <v>83</v>
      </c>
      <c r="B85" s="97" t="s">
        <v>226</v>
      </c>
      <c r="C85" s="130" t="n">
        <v>46793</v>
      </c>
      <c r="D85" s="130" t="n">
        <v>46793</v>
      </c>
      <c r="E85" s="97"/>
      <c r="F85" s="131"/>
    </row>
    <row r="86" customFormat="false" ht="15" hidden="false" customHeight="true" outlineLevel="0" collapsed="false">
      <c r="A86" s="18" t="n">
        <v>84</v>
      </c>
      <c r="B86" s="18" t="s">
        <v>227</v>
      </c>
      <c r="C86" s="19" t="n">
        <v>46822</v>
      </c>
      <c r="D86" s="19" t="n">
        <v>46822</v>
      </c>
      <c r="E86" s="18"/>
      <c r="F86" s="23"/>
    </row>
    <row r="87" customFormat="false" ht="15" hidden="false" customHeight="true" outlineLevel="0" collapsed="false">
      <c r="A87" s="97" t="n">
        <v>85</v>
      </c>
      <c r="B87" s="97" t="s">
        <v>129</v>
      </c>
      <c r="C87" s="130" t="n">
        <v>46853</v>
      </c>
      <c r="D87" s="130" t="n">
        <v>46853</v>
      </c>
      <c r="E87" s="97"/>
      <c r="F87" s="131"/>
    </row>
    <row r="88" customFormat="false" ht="15" hidden="false" customHeight="true" outlineLevel="0" collapsed="false">
      <c r="A88" s="18" t="n">
        <v>86</v>
      </c>
      <c r="B88" s="18" t="s">
        <v>228</v>
      </c>
      <c r="C88" s="19" t="n">
        <v>46883</v>
      </c>
      <c r="D88" s="19" t="n">
        <v>46883</v>
      </c>
      <c r="E88" s="18"/>
      <c r="F88" s="23"/>
    </row>
    <row r="89" customFormat="false" ht="15" hidden="false" customHeight="true" outlineLevel="0" collapsed="false">
      <c r="A89" s="129" t="n">
        <v>87</v>
      </c>
      <c r="B89" s="129" t="s">
        <v>229</v>
      </c>
      <c r="C89" s="69" t="n">
        <v>46914</v>
      </c>
      <c r="D89" s="69" t="n">
        <v>46916</v>
      </c>
      <c r="E89" s="57" t="s">
        <v>124</v>
      </c>
      <c r="F89" s="71" t="s">
        <v>148</v>
      </c>
    </row>
    <row r="90" customFormat="false" ht="15" hidden="false" customHeight="true" outlineLevel="0" collapsed="false">
      <c r="A90" s="18" t="n">
        <v>88</v>
      </c>
      <c r="B90" s="18" t="s">
        <v>230</v>
      </c>
      <c r="C90" s="19" t="n">
        <v>46944</v>
      </c>
      <c r="D90" s="19" t="n">
        <v>46944</v>
      </c>
      <c r="E90" s="18"/>
      <c r="F90" s="23"/>
    </row>
    <row r="91" customFormat="false" ht="15" hidden="false" customHeight="true" outlineLevel="0" collapsed="false">
      <c r="A91" s="97" t="n">
        <v>89</v>
      </c>
      <c r="B91" s="97" t="s">
        <v>231</v>
      </c>
      <c r="C91" s="130" t="n">
        <v>46975</v>
      </c>
      <c r="D91" s="130" t="n">
        <v>46975</v>
      </c>
      <c r="E91" s="97"/>
      <c r="F91" s="131"/>
    </row>
    <row r="92" customFormat="false" ht="15" hidden="false" customHeight="true" outlineLevel="0" collapsed="false">
      <c r="A92" s="129" t="n">
        <v>90</v>
      </c>
      <c r="B92" s="129" t="s">
        <v>232</v>
      </c>
      <c r="C92" s="69" t="n">
        <v>47006</v>
      </c>
      <c r="D92" s="69" t="n">
        <v>47007</v>
      </c>
      <c r="E92" s="57" t="s">
        <v>124</v>
      </c>
      <c r="F92" s="71" t="s">
        <v>155</v>
      </c>
    </row>
    <row r="93" customFormat="false" ht="15" hidden="false" customHeight="true" outlineLevel="0" collapsed="false">
      <c r="A93" s="97" t="n">
        <v>91</v>
      </c>
      <c r="B93" s="97" t="s">
        <v>233</v>
      </c>
      <c r="C93" s="130" t="n">
        <v>47036</v>
      </c>
      <c r="D93" s="130" t="n">
        <v>47036</v>
      </c>
      <c r="E93" s="97"/>
      <c r="F93" s="131"/>
    </row>
    <row r="94" customFormat="false" ht="15" hidden="false" customHeight="true" outlineLevel="0" collapsed="false">
      <c r="A94" s="18" t="n">
        <v>92</v>
      </c>
      <c r="B94" s="18" t="s">
        <v>234</v>
      </c>
      <c r="C94" s="19" t="n">
        <v>47067</v>
      </c>
      <c r="D94" s="19" t="n">
        <v>47067</v>
      </c>
      <c r="E94" s="18"/>
      <c r="F94" s="23"/>
    </row>
    <row r="95" customFormat="false" ht="15" hidden="false" customHeight="true" outlineLevel="0" collapsed="false">
      <c r="A95" s="129" t="n">
        <v>93</v>
      </c>
      <c r="B95" s="129" t="s">
        <v>235</v>
      </c>
      <c r="C95" s="69" t="n">
        <v>47097</v>
      </c>
      <c r="D95" s="69" t="n">
        <v>47098</v>
      </c>
      <c r="E95" s="57" t="s">
        <v>124</v>
      </c>
      <c r="F95" s="71" t="s">
        <v>155</v>
      </c>
    </row>
    <row r="96" customFormat="false" ht="15" hidden="false" customHeight="true" outlineLevel="0" collapsed="false">
      <c r="A96" s="18" t="n">
        <v>94</v>
      </c>
      <c r="B96" s="18" t="s">
        <v>236</v>
      </c>
      <c r="C96" s="19" t="n">
        <v>47128</v>
      </c>
      <c r="D96" s="19" t="n">
        <v>47128</v>
      </c>
      <c r="E96" s="18"/>
      <c r="F96" s="23"/>
    </row>
    <row r="97" customFormat="false" ht="15" hidden="false" customHeight="true" outlineLevel="0" collapsed="false">
      <c r="A97" s="129" t="n">
        <v>95</v>
      </c>
      <c r="B97" s="129" t="s">
        <v>237</v>
      </c>
      <c r="C97" s="69" t="n">
        <v>47159</v>
      </c>
      <c r="D97" s="69" t="n">
        <v>47161</v>
      </c>
      <c r="E97" s="57" t="s">
        <v>124</v>
      </c>
      <c r="F97" s="71" t="s">
        <v>148</v>
      </c>
    </row>
    <row r="98" customFormat="false" ht="15" hidden="false" customHeight="true" outlineLevel="0" collapsed="false">
      <c r="A98" s="129" t="n">
        <v>96</v>
      </c>
      <c r="B98" s="129" t="s">
        <v>238</v>
      </c>
      <c r="C98" s="69" t="n">
        <v>47187</v>
      </c>
      <c r="D98" s="69" t="n">
        <v>47189</v>
      </c>
      <c r="E98" s="57" t="s">
        <v>124</v>
      </c>
      <c r="F98" s="71" t="s">
        <v>148</v>
      </c>
    </row>
    <row r="99" customFormat="false" ht="15" hidden="false" customHeight="true" outlineLevel="0" collapsed="false">
      <c r="A99" s="97" t="n">
        <v>97</v>
      </c>
      <c r="B99" s="97" t="s">
        <v>130</v>
      </c>
      <c r="C99" s="130" t="n">
        <v>47218</v>
      </c>
      <c r="D99" s="130" t="n">
        <v>47218</v>
      </c>
      <c r="E99" s="97"/>
      <c r="F99" s="131"/>
    </row>
    <row r="100" customFormat="false" ht="15" hidden="false" customHeight="true" outlineLevel="0" collapsed="false">
      <c r="A100" s="18" t="n">
        <v>98</v>
      </c>
      <c r="B100" s="18" t="s">
        <v>239</v>
      </c>
      <c r="C100" s="19" t="n">
        <v>47248</v>
      </c>
      <c r="D100" s="19" t="n">
        <v>47248</v>
      </c>
      <c r="E100" s="18"/>
      <c r="F100" s="23"/>
    </row>
    <row r="101" customFormat="false" ht="15" hidden="false" customHeight="true" outlineLevel="0" collapsed="false">
      <c r="A101" s="129" t="n">
        <v>99</v>
      </c>
      <c r="B101" s="129" t="s">
        <v>240</v>
      </c>
      <c r="C101" s="69" t="n">
        <v>47279</v>
      </c>
      <c r="D101" s="69" t="n">
        <v>47280</v>
      </c>
      <c r="E101" s="57" t="s">
        <v>124</v>
      </c>
      <c r="F101" s="71" t="s">
        <v>155</v>
      </c>
    </row>
    <row r="102" customFormat="false" ht="15" hidden="false" customHeight="true" outlineLevel="0" collapsed="false">
      <c r="A102" s="18" t="n">
        <v>100</v>
      </c>
      <c r="B102" s="18" t="s">
        <v>241</v>
      </c>
      <c r="C102" s="19" t="n">
        <v>47309</v>
      </c>
      <c r="D102" s="19" t="n">
        <v>47309</v>
      </c>
      <c r="E102" s="18"/>
      <c r="F102" s="23"/>
    </row>
    <row r="103" customFormat="false" ht="15" hidden="false" customHeight="true" outlineLevel="0" collapsed="false">
      <c r="A103" s="97" t="n">
        <v>101</v>
      </c>
      <c r="B103" s="97" t="s">
        <v>242</v>
      </c>
      <c r="C103" s="130" t="n">
        <v>47340</v>
      </c>
      <c r="D103" s="130" t="n">
        <v>47340</v>
      </c>
      <c r="E103" s="97"/>
      <c r="F103" s="131"/>
    </row>
    <row r="104" customFormat="false" ht="15" hidden="false" customHeight="true" outlineLevel="0" collapsed="false">
      <c r="A104" s="18" t="n">
        <v>102</v>
      </c>
      <c r="B104" s="18" t="s">
        <v>243</v>
      </c>
      <c r="C104" s="19" t="n">
        <v>47371</v>
      </c>
      <c r="D104" s="19" t="n">
        <v>47371</v>
      </c>
      <c r="E104" s="18"/>
      <c r="F104" s="23"/>
    </row>
    <row r="105" customFormat="false" ht="15" hidden="false" customHeight="true" outlineLevel="0" collapsed="false">
      <c r="A105" s="97" t="n">
        <v>103</v>
      </c>
      <c r="B105" s="97" t="s">
        <v>244</v>
      </c>
      <c r="C105" s="130" t="n">
        <v>47401</v>
      </c>
      <c r="D105" s="130" t="n">
        <v>47401</v>
      </c>
      <c r="E105" s="97"/>
      <c r="F105" s="131"/>
    </row>
    <row r="106" customFormat="false" ht="15" hidden="false" customHeight="true" outlineLevel="0" collapsed="false">
      <c r="A106" s="129" t="n">
        <v>104</v>
      </c>
      <c r="B106" s="129" t="s">
        <v>245</v>
      </c>
      <c r="C106" s="69" t="n">
        <v>47432</v>
      </c>
      <c r="D106" s="69" t="n">
        <v>47434</v>
      </c>
      <c r="E106" s="57" t="s">
        <v>124</v>
      </c>
      <c r="F106" s="71" t="s">
        <v>148</v>
      </c>
    </row>
    <row r="107" customFormat="false" ht="15" hidden="false" customHeight="true" outlineLevel="0" collapsed="false">
      <c r="A107" s="97" t="n">
        <v>105</v>
      </c>
      <c r="B107" s="97" t="s">
        <v>246</v>
      </c>
      <c r="C107" s="130" t="n">
        <v>47462</v>
      </c>
      <c r="D107" s="130" t="n">
        <v>47462</v>
      </c>
      <c r="E107" s="97"/>
      <c r="F107" s="131"/>
    </row>
    <row r="108" customFormat="false" ht="15" hidden="false" customHeight="true" outlineLevel="0" collapsed="false">
      <c r="A108" s="18" t="n">
        <v>106</v>
      </c>
      <c r="B108" s="18" t="s">
        <v>247</v>
      </c>
      <c r="C108" s="19" t="n">
        <v>47493</v>
      </c>
      <c r="D108" s="19" t="n">
        <v>47493</v>
      </c>
      <c r="E108" s="18"/>
      <c r="F108" s="23"/>
    </row>
    <row r="109" customFormat="false" ht="15" hidden="false" customHeight="true" outlineLevel="0" collapsed="false">
      <c r="A109" s="129" t="n">
        <v>107</v>
      </c>
      <c r="B109" s="129" t="s">
        <v>248</v>
      </c>
      <c r="C109" s="69" t="n">
        <v>47524</v>
      </c>
      <c r="D109" s="69" t="n">
        <v>47525</v>
      </c>
      <c r="E109" s="57" t="s">
        <v>124</v>
      </c>
      <c r="F109" s="71" t="s">
        <v>155</v>
      </c>
    </row>
    <row r="110" customFormat="false" ht="15" hidden="false" customHeight="true" outlineLevel="0" collapsed="false">
      <c r="A110" s="129" t="n">
        <v>108</v>
      </c>
      <c r="B110" s="129" t="s">
        <v>249</v>
      </c>
      <c r="C110" s="69" t="n">
        <v>47552</v>
      </c>
      <c r="D110" s="69" t="n">
        <v>47553</v>
      </c>
      <c r="E110" s="57" t="s">
        <v>124</v>
      </c>
      <c r="F110" s="71" t="s">
        <v>155</v>
      </c>
    </row>
    <row r="111" customFormat="false" ht="15" hidden="false" customHeight="true" outlineLevel="0" collapsed="false">
      <c r="A111" s="97" t="n">
        <v>109</v>
      </c>
      <c r="B111" s="97" t="s">
        <v>131</v>
      </c>
      <c r="C111" s="130" t="n">
        <v>47583</v>
      </c>
      <c r="D111" s="130" t="n">
        <v>47583</v>
      </c>
      <c r="E111" s="97"/>
      <c r="F111" s="131"/>
    </row>
    <row r="112" customFormat="false" ht="15" hidden="false" customHeight="true" outlineLevel="0" collapsed="false">
      <c r="A112" s="18" t="n">
        <v>110</v>
      </c>
      <c r="B112" s="18" t="s">
        <v>250</v>
      </c>
      <c r="C112" s="19" t="n">
        <v>47613</v>
      </c>
      <c r="D112" s="19" t="n">
        <v>47613</v>
      </c>
      <c r="E112" s="18"/>
      <c r="F112" s="23"/>
    </row>
    <row r="113" customFormat="false" ht="15" hidden="false" customHeight="true" outlineLevel="0" collapsed="false">
      <c r="A113" s="97" t="n">
        <v>111</v>
      </c>
      <c r="B113" s="97" t="s">
        <v>251</v>
      </c>
      <c r="C113" s="130" t="n">
        <v>47644</v>
      </c>
      <c r="D113" s="130" t="n">
        <v>47644</v>
      </c>
      <c r="E113" s="97"/>
      <c r="F113" s="131"/>
    </row>
    <row r="114" customFormat="false" ht="15" hidden="false" customHeight="true" outlineLevel="0" collapsed="false">
      <c r="A114" s="18" t="n">
        <v>112</v>
      </c>
      <c r="B114" s="18" t="s">
        <v>252</v>
      </c>
      <c r="C114" s="19" t="n">
        <v>47674</v>
      </c>
      <c r="D114" s="19" t="n">
        <v>47674</v>
      </c>
      <c r="E114" s="18"/>
      <c r="F114" s="23"/>
    </row>
    <row r="115" customFormat="false" ht="15" hidden="false" customHeight="true" outlineLevel="0" collapsed="false">
      <c r="A115" s="129" t="n">
        <v>113</v>
      </c>
      <c r="B115" s="129" t="s">
        <v>253</v>
      </c>
      <c r="C115" s="69" t="n">
        <v>47705</v>
      </c>
      <c r="D115" s="69" t="n">
        <v>47707</v>
      </c>
      <c r="E115" s="57" t="s">
        <v>124</v>
      </c>
      <c r="F115" s="71" t="s">
        <v>148</v>
      </c>
    </row>
    <row r="116" customFormat="false" ht="15" hidden="false" customHeight="true" outlineLevel="0" collapsed="false">
      <c r="A116" s="18" t="n">
        <v>114</v>
      </c>
      <c r="B116" s="18" t="s">
        <v>254</v>
      </c>
      <c r="C116" s="19" t="n">
        <v>47736</v>
      </c>
      <c r="D116" s="19" t="n">
        <v>47736</v>
      </c>
      <c r="E116" s="18"/>
      <c r="F116" s="23"/>
    </row>
    <row r="117" customFormat="false" ht="15" hidden="false" customHeight="true" outlineLevel="0" collapsed="false">
      <c r="A117" s="97" t="n">
        <v>115</v>
      </c>
      <c r="B117" s="97" t="s">
        <v>255</v>
      </c>
      <c r="C117" s="130" t="n">
        <v>47766</v>
      </c>
      <c r="D117" s="130" t="n">
        <v>47766</v>
      </c>
      <c r="E117" s="97"/>
      <c r="F117" s="131"/>
    </row>
    <row r="118" customFormat="false" ht="15" hidden="false" customHeight="true" outlineLevel="0" collapsed="false">
      <c r="A118" s="129" t="n">
        <v>116</v>
      </c>
      <c r="B118" s="129" t="s">
        <v>256</v>
      </c>
      <c r="C118" s="69" t="n">
        <v>47797</v>
      </c>
      <c r="D118" s="69" t="n">
        <v>47798</v>
      </c>
      <c r="E118" s="57" t="s">
        <v>124</v>
      </c>
      <c r="F118" s="71" t="s">
        <v>155</v>
      </c>
    </row>
    <row r="119" customFormat="false" ht="15" hidden="false" customHeight="true" outlineLevel="0" collapsed="false">
      <c r="A119" s="97" t="n">
        <v>117</v>
      </c>
      <c r="B119" s="97" t="s">
        <v>257</v>
      </c>
      <c r="C119" s="130" t="n">
        <v>47827</v>
      </c>
      <c r="D119" s="130" t="n">
        <v>47827</v>
      </c>
      <c r="E119" s="97"/>
      <c r="F119" s="131"/>
    </row>
    <row r="120" customFormat="false" ht="15" hidden="false" customHeight="true" outlineLevel="0" collapsed="false">
      <c r="A120" s="18" t="n">
        <v>118</v>
      </c>
      <c r="B120" s="18" t="s">
        <v>258</v>
      </c>
      <c r="C120" s="19" t="n">
        <v>47858</v>
      </c>
      <c r="D120" s="19" t="n">
        <v>47858</v>
      </c>
      <c r="E120" s="18"/>
      <c r="F120" s="23"/>
    </row>
    <row r="121" customFormat="false" ht="15" hidden="false" customHeight="true" outlineLevel="0" collapsed="false">
      <c r="A121" s="97" t="n">
        <v>119</v>
      </c>
      <c r="B121" s="97" t="s">
        <v>259</v>
      </c>
      <c r="C121" s="130" t="n">
        <v>47889</v>
      </c>
      <c r="D121" s="130" t="n">
        <v>47889</v>
      </c>
      <c r="E121" s="97"/>
      <c r="F121" s="131"/>
    </row>
    <row r="122" customFormat="false" ht="15" hidden="false" customHeight="true" outlineLevel="0" collapsed="false">
      <c r="A122" s="18" t="n">
        <v>120</v>
      </c>
      <c r="B122" s="18" t="s">
        <v>260</v>
      </c>
      <c r="C122" s="19" t="n">
        <v>47917</v>
      </c>
      <c r="D122" s="19" t="n">
        <v>47917</v>
      </c>
      <c r="E122" s="18"/>
      <c r="F122" s="2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8" hidden="false" customHeight="true" outlineLevel="0" collapsed="false">
      <c r="A1" s="132" t="s">
        <v>261</v>
      </c>
      <c r="B1" s="132"/>
      <c r="C1" s="132"/>
      <c r="D1" s="132"/>
      <c r="E1" s="132"/>
      <c r="F1" s="132"/>
      <c r="G1" s="132"/>
      <c r="H1" s="132"/>
      <c r="I1" s="132"/>
    </row>
    <row r="2" customFormat="false" ht="15" hidden="false" customHeight="true" outlineLevel="0" collapsed="false">
      <c r="A2" s="133" t="s">
        <v>262</v>
      </c>
      <c r="B2" s="133"/>
      <c r="C2" s="133"/>
      <c r="D2" s="133"/>
      <c r="E2" s="133"/>
      <c r="F2" s="133"/>
      <c r="G2" s="133"/>
      <c r="H2" s="133"/>
      <c r="I2" s="133"/>
    </row>
    <row r="4" customFormat="false" ht="15" hidden="false" customHeight="true" outlineLevel="0" collapsed="false">
      <c r="A4" s="134" t="s">
        <v>263</v>
      </c>
      <c r="B4" s="134"/>
      <c r="C4" s="134"/>
      <c r="D4" s="134"/>
      <c r="E4" s="134"/>
      <c r="F4" s="134"/>
      <c r="G4" s="134"/>
      <c r="H4" s="134"/>
      <c r="I4" s="134"/>
    </row>
    <row r="6" customFormat="false" ht="21.75" hidden="false" customHeight="true" outlineLevel="0" collapsed="false">
      <c r="A6" s="14" t="s">
        <v>74</v>
      </c>
      <c r="B6" s="14" t="s">
        <v>76</v>
      </c>
      <c r="C6" s="14" t="s">
        <v>116</v>
      </c>
      <c r="D6" s="14" t="s">
        <v>264</v>
      </c>
      <c r="E6" s="14" t="s">
        <v>265</v>
      </c>
      <c r="F6" s="14" t="s">
        <v>266</v>
      </c>
      <c r="G6" s="14" t="s">
        <v>267</v>
      </c>
      <c r="H6" s="14" t="s">
        <v>268</v>
      </c>
      <c r="I6" s="14" t="s">
        <v>269</v>
      </c>
    </row>
    <row r="7" customFormat="false" ht="15" hidden="false" customHeight="true" outlineLevel="0" collapsed="false">
      <c r="A7" s="16" t="s">
        <v>82</v>
      </c>
      <c r="B7" s="18" t="s">
        <v>270</v>
      </c>
      <c r="C7" s="21" t="n">
        <v>162126.24</v>
      </c>
      <c r="D7" s="37" t="n">
        <f aca="false">SUM('Parcelas Mensais'!G11:G22)</f>
        <v>16712.64</v>
      </c>
      <c r="E7" s="20" t="n">
        <f aca="false">C7-D7</f>
        <v>145413.6</v>
      </c>
      <c r="F7" s="135" t="n">
        <v>0.112993</v>
      </c>
      <c r="G7" s="136" t="n">
        <f aca="false">1+F7</f>
        <v>1.112993</v>
      </c>
      <c r="H7" s="137" t="n">
        <f aca="false">(1+0.0085)^12-1</f>
        <v>0.106906226923436</v>
      </c>
      <c r="I7" s="138" t="n">
        <v>179146.47</v>
      </c>
    </row>
    <row r="8" customFormat="false" ht="15" hidden="false" customHeight="true" outlineLevel="0" collapsed="false">
      <c r="A8" s="16" t="s">
        <v>85</v>
      </c>
      <c r="B8" s="18" t="s">
        <v>271</v>
      </c>
      <c r="C8" s="20" t="n">
        <f aca="false">I7</f>
        <v>179146.47</v>
      </c>
      <c r="D8" s="37" t="n">
        <f aca="false">SUM('Parcelas Mensais'!G23:G34)</f>
        <v>17600.09</v>
      </c>
      <c r="E8" s="20" t="n">
        <f aca="false">C8-D8</f>
        <v>161546.38</v>
      </c>
      <c r="F8" s="135" t="n">
        <v>0.046507</v>
      </c>
      <c r="G8" s="136" t="n">
        <f aca="false">1+F8</f>
        <v>1.046507</v>
      </c>
      <c r="H8" s="137" t="n">
        <f aca="false">(1+0.0085)^12-1</f>
        <v>0.106906226923436</v>
      </c>
      <c r="I8" s="138" t="n">
        <v>187132.87</v>
      </c>
    </row>
    <row r="9" customFormat="false" ht="15" hidden="false" customHeight="true" outlineLevel="0" collapsed="false">
      <c r="A9" s="16" t="s">
        <v>88</v>
      </c>
      <c r="B9" s="18" t="s">
        <v>272</v>
      </c>
      <c r="C9" s="20" t="n">
        <f aca="false">I8</f>
        <v>187132.87</v>
      </c>
      <c r="D9" s="37" t="n">
        <f aca="false">SUM('Parcelas Mensais'!G35:G46)</f>
        <v>6000</v>
      </c>
      <c r="E9" s="20" t="n">
        <f aca="false">C9-D9</f>
        <v>181132.87</v>
      </c>
      <c r="F9" s="135" t="n">
        <v>0.039256</v>
      </c>
      <c r="G9" s="136" t="n">
        <f aca="false">1+F9</f>
        <v>1.039256</v>
      </c>
      <c r="H9" s="137" t="n">
        <f aca="false">(1+0.0085)^12-1</f>
        <v>0.106906226923436</v>
      </c>
      <c r="I9" s="138" t="n">
        <v>208367.76</v>
      </c>
    </row>
    <row r="10" customFormat="false" ht="15" hidden="false" customHeight="true" outlineLevel="0" collapsed="false">
      <c r="A10" s="139" t="s">
        <v>91</v>
      </c>
      <c r="B10" s="140" t="s">
        <v>273</v>
      </c>
      <c r="C10" s="20" t="n">
        <f aca="false">I9</f>
        <v>208367.76</v>
      </c>
      <c r="D10" s="37" t="n">
        <f aca="false">SUM('Parcelas Mensais'!G47:G58)</f>
        <v>0</v>
      </c>
      <c r="E10" s="20" t="n">
        <f aca="false">C10-D10</f>
        <v>208367.76</v>
      </c>
      <c r="F10" s="135" t="n">
        <v>0.054772</v>
      </c>
      <c r="G10" s="136" t="n">
        <f aca="false">1+F10</f>
        <v>1.054772</v>
      </c>
      <c r="H10" s="137" t="n">
        <f aca="false">(1+0.0085)^12-1</f>
        <v>0.106906226923436</v>
      </c>
      <c r="I10" s="141" t="n">
        <v>243276.3</v>
      </c>
    </row>
    <row r="11" customFormat="false" ht="15" hidden="false" customHeight="true" outlineLevel="0" collapsed="false">
      <c r="A11" s="139" t="s">
        <v>94</v>
      </c>
      <c r="B11" s="140" t="s">
        <v>274</v>
      </c>
      <c r="C11" s="20" t="n">
        <f aca="false">I10</f>
        <v>243276.3</v>
      </c>
      <c r="D11" s="37" t="n">
        <f aca="false">SUM('Parcelas Mensais'!G59:G70)</f>
        <v>0</v>
      </c>
      <c r="E11" s="20" t="n">
        <f aca="false">C11-D11</f>
        <v>243276.3</v>
      </c>
      <c r="F11" s="135" t="n">
        <v>0.041428</v>
      </c>
      <c r="G11" s="136" t="n">
        <f aca="false">1+F11</f>
        <v>1.041428</v>
      </c>
      <c r="H11" s="137" t="n">
        <f aca="false">(1+0.0085)^12-1</f>
        <v>0.106906226923436</v>
      </c>
      <c r="I11" s="141" t="n">
        <v>280440.01</v>
      </c>
    </row>
    <row r="12" customFormat="false" ht="15" hidden="false" customHeight="true" outlineLevel="0" collapsed="false">
      <c r="A12" s="139" t="s">
        <v>97</v>
      </c>
      <c r="B12" s="140" t="s">
        <v>275</v>
      </c>
      <c r="C12" s="20" t="n">
        <f aca="false">I11</f>
        <v>280440.01</v>
      </c>
      <c r="D12" s="37" t="n">
        <f aca="false">SUM('Parcelas Mensais'!G71:G82)</f>
        <v>0</v>
      </c>
      <c r="E12" s="20" t="n">
        <f aca="false">C12-D12</f>
        <v>280440.01</v>
      </c>
      <c r="F12" s="142" t="n">
        <v>0</v>
      </c>
      <c r="G12" s="136" t="n">
        <f aca="false">1+F12</f>
        <v>1</v>
      </c>
      <c r="H12" s="137" t="n">
        <f aca="false">(1+0.0085)^12-1</f>
        <v>0.106906226923436</v>
      </c>
      <c r="I12" s="120" t="n">
        <f aca="false">ROUND(E12*G12,2)+ROUND(ROUND(E12*G12,2)*10.6906/100,2)</f>
        <v>310420.73</v>
      </c>
    </row>
    <row r="13" customFormat="false" ht="15" hidden="false" customHeight="true" outlineLevel="0" collapsed="false">
      <c r="A13" s="139" t="s">
        <v>100</v>
      </c>
      <c r="B13" s="140" t="s">
        <v>276</v>
      </c>
      <c r="C13" s="20" t="n">
        <f aca="false">I12</f>
        <v>310420.73</v>
      </c>
      <c r="D13" s="37" t="n">
        <f aca="false">SUM('Parcelas Mensais'!G83:G94)</f>
        <v>0</v>
      </c>
      <c r="E13" s="20" t="n">
        <f aca="false">C13-D13</f>
        <v>310420.73</v>
      </c>
      <c r="F13" s="142" t="n">
        <v>0</v>
      </c>
      <c r="G13" s="136" t="n">
        <f aca="false">1+F13</f>
        <v>1</v>
      </c>
      <c r="H13" s="137" t="n">
        <f aca="false">(1+0.0085)^12-1</f>
        <v>0.106906226923436</v>
      </c>
      <c r="I13" s="120" t="n">
        <f aca="false">ROUND(E13*G13,2)+ROUND(ROUND(E13*G13,2)*10.6906/100,2)</f>
        <v>343606.57</v>
      </c>
    </row>
    <row r="14" customFormat="false" ht="15" hidden="false" customHeight="true" outlineLevel="0" collapsed="false">
      <c r="A14" s="139" t="s">
        <v>103</v>
      </c>
      <c r="B14" s="140" t="s">
        <v>277</v>
      </c>
      <c r="C14" s="20" t="n">
        <f aca="false">I13</f>
        <v>343606.57</v>
      </c>
      <c r="D14" s="37" t="n">
        <f aca="false">SUM('Parcelas Mensais'!G95:G106)</f>
        <v>0</v>
      </c>
      <c r="E14" s="20" t="n">
        <f aca="false">C14-D14</f>
        <v>343606.57</v>
      </c>
      <c r="F14" s="142" t="n">
        <v>0</v>
      </c>
      <c r="G14" s="136" t="n">
        <f aca="false">1+F14</f>
        <v>1</v>
      </c>
      <c r="H14" s="137" t="n">
        <f aca="false">(1+0.0085)^12-1</f>
        <v>0.106906226923436</v>
      </c>
      <c r="I14" s="120" t="n">
        <f aca="false">ROUND(E14*G14,2)+ROUND(ROUND(E14*G14,2)*10.6906/100,2)</f>
        <v>380340.17</v>
      </c>
    </row>
    <row r="15" customFormat="false" ht="15" hidden="false" customHeight="true" outlineLevel="0" collapsed="false">
      <c r="A15" s="139" t="s">
        <v>106</v>
      </c>
      <c r="B15" s="140" t="s">
        <v>278</v>
      </c>
      <c r="C15" s="20" t="n">
        <f aca="false">I14</f>
        <v>380340.17</v>
      </c>
      <c r="D15" s="37" t="n">
        <f aca="false">SUM('Parcelas Mensais'!G107:G118)</f>
        <v>0</v>
      </c>
      <c r="E15" s="20" t="n">
        <f aca="false">C15-D15</f>
        <v>380340.17</v>
      </c>
      <c r="F15" s="142" t="n">
        <v>0</v>
      </c>
      <c r="G15" s="136" t="n">
        <f aca="false">1+F15</f>
        <v>1</v>
      </c>
      <c r="H15" s="137" t="n">
        <f aca="false">(1+0.0085)^12-1</f>
        <v>0.106906226923436</v>
      </c>
      <c r="I15" s="120" t="n">
        <f aca="false">ROUND(E15*G15,2)+ROUND(ROUND(E15*G15,2)*10.6906/100,2)</f>
        <v>421000.82</v>
      </c>
    </row>
    <row r="16" customFormat="false" ht="15" hidden="false" customHeight="true" outlineLevel="0" collapsed="false">
      <c r="A16" s="139" t="s">
        <v>109</v>
      </c>
      <c r="B16" s="140" t="s">
        <v>279</v>
      </c>
      <c r="C16" s="20" t="n">
        <f aca="false">I15</f>
        <v>421000.82</v>
      </c>
      <c r="D16" s="37" t="n">
        <f aca="false">SUM('Parcelas Mensais'!G119:G130)</f>
        <v>0</v>
      </c>
      <c r="E16" s="20" t="n">
        <f aca="false">C16-D16</f>
        <v>421000.82</v>
      </c>
      <c r="F16" s="142" t="n">
        <v>0</v>
      </c>
      <c r="G16" s="136" t="n">
        <f aca="false">1+F16</f>
        <v>1</v>
      </c>
      <c r="H16" s="137" t="n">
        <f aca="false">(1+0.0085)^12-1</f>
        <v>0.106906226923436</v>
      </c>
      <c r="I16" s="120" t="n">
        <f aca="false">ROUND(E16*G16,2)+ROUND(ROUND(E16*G16,2)*10.6906/100,2)</f>
        <v>466008.33</v>
      </c>
    </row>
    <row r="17" customFormat="false" ht="15" hidden="false" customHeight="true" outlineLevel="0" collapsed="false">
      <c r="A17" s="143" t="s">
        <v>280</v>
      </c>
      <c r="B17" s="73"/>
      <c r="C17" s="73"/>
      <c r="D17" s="74" t="n">
        <f aca="false">SUM(D7:D16)</f>
        <v>40312.73</v>
      </c>
      <c r="E17" s="73"/>
      <c r="F17" s="73"/>
      <c r="G17" s="73"/>
      <c r="H17" s="144" t="s">
        <v>281</v>
      </c>
      <c r="I17" s="145" t="n">
        <f aca="false">I16</f>
        <v>466008.33</v>
      </c>
    </row>
    <row r="20" customFormat="false" ht="15" hidden="false" customHeight="true" outlineLevel="0" collapsed="false">
      <c r="A20" s="134" t="s">
        <v>282</v>
      </c>
      <c r="B20" s="134"/>
      <c r="C20" s="134"/>
      <c r="D20" s="134"/>
      <c r="E20" s="134"/>
      <c r="F20" s="134"/>
      <c r="G20" s="134"/>
      <c r="H20" s="134"/>
      <c r="I20" s="134"/>
    </row>
    <row r="22" customFormat="false" ht="21.75" hidden="false" customHeight="true" outlineLevel="0" collapsed="false">
      <c r="A22" s="14" t="s">
        <v>22</v>
      </c>
      <c r="B22" s="14" t="s">
        <v>115</v>
      </c>
      <c r="C22" s="14" t="s">
        <v>116</v>
      </c>
      <c r="D22" s="14" t="s">
        <v>117</v>
      </c>
      <c r="E22" s="14" t="s">
        <v>118</v>
      </c>
      <c r="F22" s="14" t="s">
        <v>283</v>
      </c>
      <c r="G22" s="14" t="s">
        <v>267</v>
      </c>
      <c r="H22" s="14" t="s">
        <v>268</v>
      </c>
      <c r="I22" s="14" t="s">
        <v>120</v>
      </c>
    </row>
    <row r="23" customFormat="false" ht="15" hidden="false" customHeight="true" outlineLevel="0" collapsed="false">
      <c r="A23" s="146" t="n">
        <v>1</v>
      </c>
      <c r="B23" s="146" t="s">
        <v>121</v>
      </c>
      <c r="C23" s="21" t="n">
        <v>50000</v>
      </c>
      <c r="D23" s="21" t="n">
        <v>5000</v>
      </c>
      <c r="E23" s="20" t="n">
        <f aca="false">C23-D23</f>
        <v>45000</v>
      </c>
      <c r="F23" s="137"/>
      <c r="G23" s="136" t="n">
        <v>1</v>
      </c>
      <c r="H23" s="137"/>
      <c r="I23" s="117" t="n">
        <f aca="false">E23</f>
        <v>45000</v>
      </c>
    </row>
    <row r="24" customFormat="false" ht="15" hidden="false" customHeight="true" outlineLevel="0" collapsed="false">
      <c r="A24" s="146" t="n">
        <v>2</v>
      </c>
      <c r="B24" s="146" t="s">
        <v>123</v>
      </c>
      <c r="C24" s="20" t="n">
        <f aca="false">I23</f>
        <v>45000</v>
      </c>
      <c r="D24" s="21" t="n">
        <v>5000</v>
      </c>
      <c r="E24" s="20" t="n">
        <f aca="false">C24-D24</f>
        <v>40000</v>
      </c>
      <c r="F24" s="39" t="n">
        <f aca="false">'Índices IPCA'!C28/'Índices IPCA'!C16-1</f>
        <v>0.0465077985348159</v>
      </c>
      <c r="G24" s="136" t="n">
        <f aca="false">1+F24</f>
        <v>1.04650779853482</v>
      </c>
      <c r="H24" s="137" t="n">
        <f aca="false">(1+0.0085)^12-1</f>
        <v>0.106906226923436</v>
      </c>
      <c r="I24" s="117" t="n">
        <f aca="false">IF(F24=0,E24*(1+H24),E24*G24*(1+H24))</f>
        <v>46335.439948885</v>
      </c>
    </row>
    <row r="25" customFormat="false" ht="15" hidden="false" customHeight="true" outlineLevel="0" collapsed="false">
      <c r="A25" s="140" t="n">
        <v>3</v>
      </c>
      <c r="B25" s="140" t="s">
        <v>125</v>
      </c>
      <c r="C25" s="20" t="n">
        <f aca="false">I24</f>
        <v>46335.439948885</v>
      </c>
      <c r="D25" s="21" t="n">
        <v>0</v>
      </c>
      <c r="E25" s="20" t="n">
        <f aca="false">C25-D25</f>
        <v>46335.439948885</v>
      </c>
      <c r="F25" s="39" t="n">
        <f aca="false">'Índices IPCA'!C40/'Índices IPCA'!C28-1</f>
        <v>0.0392561201996469</v>
      </c>
      <c r="G25" s="136" t="n">
        <f aca="false">1+F25</f>
        <v>1.03925612019965</v>
      </c>
      <c r="H25" s="137" t="n">
        <f aca="false">(1+0.0085)^12-1</f>
        <v>0.106906226923436</v>
      </c>
      <c r="I25" s="120" t="n">
        <f aca="false">IF(F25=0,E25*(1+H25),E25*G25*(1+H25))</f>
        <v>53302.3936455092</v>
      </c>
    </row>
    <row r="26" customFormat="false" ht="15" hidden="false" customHeight="true" outlineLevel="0" collapsed="false">
      <c r="A26" s="140" t="n">
        <v>4</v>
      </c>
      <c r="B26" s="140" t="s">
        <v>126</v>
      </c>
      <c r="C26" s="20" t="n">
        <f aca="false">I25</f>
        <v>53302.3936455092</v>
      </c>
      <c r="D26" s="21" t="n">
        <v>0</v>
      </c>
      <c r="E26" s="20" t="n">
        <f aca="false">C26-D26</f>
        <v>53302.3936455092</v>
      </c>
      <c r="F26" s="39" t="n">
        <f aca="false">'Índices IPCA'!C52/'Índices IPCA'!C40-1</f>
        <v>0.0547725042727327</v>
      </c>
      <c r="G26" s="136" t="n">
        <f aca="false">1+F26</f>
        <v>1.05477250427273</v>
      </c>
      <c r="H26" s="137" t="n">
        <f aca="false">(1+0.0085)^12-1</f>
        <v>0.106906226923436</v>
      </c>
      <c r="I26" s="120" t="n">
        <f aca="false">IF(F26=0,E26*(1+H26),E26*G26*(1+H26))</f>
        <v>62232.3703462687</v>
      </c>
    </row>
    <row r="27" customFormat="false" ht="15" hidden="false" customHeight="true" outlineLevel="0" collapsed="false">
      <c r="A27" s="140" t="n">
        <v>5</v>
      </c>
      <c r="B27" s="140" t="s">
        <v>127</v>
      </c>
      <c r="C27" s="20" t="n">
        <f aca="false">I26</f>
        <v>62232.3703462687</v>
      </c>
      <c r="D27" s="21" t="n">
        <v>0</v>
      </c>
      <c r="E27" s="20" t="n">
        <f aca="false">C27-D27</f>
        <v>62232.3703462687</v>
      </c>
      <c r="F27" s="39" t="n">
        <f aca="false">'Índices IPCA'!C64/'Índices IPCA'!C52-1</f>
        <v>0.0414277788052524</v>
      </c>
      <c r="G27" s="136" t="n">
        <f aca="false">1+F27</f>
        <v>1.04142777880525</v>
      </c>
      <c r="H27" s="137" t="n">
        <f aca="false">(1+0.0085)^12-1</f>
        <v>0.106906226923436</v>
      </c>
      <c r="I27" s="120" t="n">
        <f aca="false">IF(F27=0,E27*(1+H27),E27*G27*(1+H27))</f>
        <v>71739.1672942061</v>
      </c>
    </row>
    <row r="28" customFormat="false" ht="15" hidden="false" customHeight="true" outlineLevel="0" collapsed="false">
      <c r="A28" s="140" t="n">
        <v>6</v>
      </c>
      <c r="B28" s="140" t="s">
        <v>128</v>
      </c>
      <c r="C28" s="20" t="n">
        <f aca="false">I27</f>
        <v>71739.1672942061</v>
      </c>
      <c r="D28" s="21" t="n">
        <v>0</v>
      </c>
      <c r="E28" s="20" t="n">
        <f aca="false">C28-D28</f>
        <v>71739.1672942061</v>
      </c>
      <c r="F28" s="142" t="n">
        <v>0</v>
      </c>
      <c r="G28" s="136" t="n">
        <f aca="false">1+F28</f>
        <v>1</v>
      </c>
      <c r="H28" s="137" t="n">
        <f aca="false">(1+0.0085)^12-1</f>
        <v>0.106906226923436</v>
      </c>
      <c r="I28" s="120" t="n">
        <f aca="false">IF(F28=0,E28*(1+H28),E28*G28*(1+H28))</f>
        <v>79408.5309922588</v>
      </c>
    </row>
    <row r="29" customFormat="false" ht="15" hidden="false" customHeight="true" outlineLevel="0" collapsed="false">
      <c r="A29" s="140" t="n">
        <v>7</v>
      </c>
      <c r="B29" s="140" t="s">
        <v>129</v>
      </c>
      <c r="C29" s="20" t="n">
        <f aca="false">I28</f>
        <v>79408.5309922588</v>
      </c>
      <c r="D29" s="21" t="n">
        <v>0</v>
      </c>
      <c r="E29" s="20" t="n">
        <f aca="false">C29-D29</f>
        <v>79408.5309922588</v>
      </c>
      <c r="F29" s="142" t="n">
        <v>0</v>
      </c>
      <c r="G29" s="136" t="n">
        <f aca="false">1+F29</f>
        <v>1</v>
      </c>
      <c r="H29" s="137" t="n">
        <f aca="false">(1+0.0085)^12-1</f>
        <v>0.106906226923436</v>
      </c>
      <c r="I29" s="120" t="n">
        <f aca="false">IF(F29=0,E29*(1+H29),E29*G29*(1+H29))</f>
        <v>87897.797426174</v>
      </c>
    </row>
    <row r="30" customFormat="false" ht="15" hidden="false" customHeight="true" outlineLevel="0" collapsed="false">
      <c r="A30" s="140" t="n">
        <v>8</v>
      </c>
      <c r="B30" s="140" t="s">
        <v>130</v>
      </c>
      <c r="C30" s="20" t="n">
        <f aca="false">I29</f>
        <v>87897.797426174</v>
      </c>
      <c r="D30" s="21" t="n">
        <v>0</v>
      </c>
      <c r="E30" s="20" t="n">
        <f aca="false">C30-D30</f>
        <v>87897.797426174</v>
      </c>
      <c r="F30" s="142" t="n">
        <v>0</v>
      </c>
      <c r="G30" s="136" t="n">
        <f aca="false">1+F30</f>
        <v>1</v>
      </c>
      <c r="H30" s="137" t="n">
        <f aca="false">(1+0.0085)^12-1</f>
        <v>0.106906226923436</v>
      </c>
      <c r="I30" s="120" t="n">
        <f aca="false">IF(F30=0,E30*(1+H30),E30*G30*(1+H30))</f>
        <v>97294.6193038868</v>
      </c>
    </row>
    <row r="31" customFormat="false" ht="15" hidden="false" customHeight="true" outlineLevel="0" collapsed="false">
      <c r="A31" s="140" t="n">
        <v>9</v>
      </c>
      <c r="B31" s="140" t="s">
        <v>131</v>
      </c>
      <c r="C31" s="20" t="n">
        <f aca="false">I30</f>
        <v>97294.6193038868</v>
      </c>
      <c r="D31" s="21" t="n">
        <v>0</v>
      </c>
      <c r="E31" s="20" t="n">
        <f aca="false">C31-D31</f>
        <v>97294.6193038868</v>
      </c>
      <c r="F31" s="142" t="n">
        <v>0</v>
      </c>
      <c r="G31" s="136" t="n">
        <f aca="false">1+F31</f>
        <v>1</v>
      </c>
      <c r="H31" s="137" t="n">
        <f aca="false">(1+0.0085)^12-1</f>
        <v>0.106906226923436</v>
      </c>
      <c r="I31" s="120" t="n">
        <f aca="false">IF(F31=0,E31*(1+H31),E31*G31*(1+H31))</f>
        <v>107696.019953617</v>
      </c>
    </row>
    <row r="32" customFormat="false" ht="15" hidden="false" customHeight="true" outlineLevel="0" collapsed="false">
      <c r="A32" s="140" t="n">
        <v>10</v>
      </c>
      <c r="B32" s="140" t="s">
        <v>132</v>
      </c>
      <c r="C32" s="20" t="n">
        <f aca="false">I31</f>
        <v>107696.019953617</v>
      </c>
      <c r="D32" s="21" t="n">
        <v>0</v>
      </c>
      <c r="E32" s="20" t="n">
        <f aca="false">C32-D32</f>
        <v>107696.019953617</v>
      </c>
      <c r="F32" s="142" t="n">
        <v>0</v>
      </c>
      <c r="G32" s="136" t="n">
        <f aca="false">1+F32</f>
        <v>1</v>
      </c>
      <c r="H32" s="137" t="n">
        <f aca="false">(1+0.0085)^12-1</f>
        <v>0.106906226923436</v>
      </c>
      <c r="I32" s="120" t="n">
        <f aca="false">IF(F32=0,E32*(1+H32),E32*G32*(1+H32))</f>
        <v>119209.39510153</v>
      </c>
    </row>
    <row r="33" customFormat="false" ht="15" hidden="false" customHeight="true" outlineLevel="0" collapsed="false">
      <c r="A33" s="143" t="s">
        <v>280</v>
      </c>
      <c r="B33" s="73"/>
      <c r="C33" s="73"/>
      <c r="D33" s="74" t="n">
        <f aca="false">SUM(D23:D32)</f>
        <v>10000</v>
      </c>
      <c r="E33" s="73"/>
      <c r="F33" s="73"/>
      <c r="G33" s="73"/>
      <c r="H33" s="144" t="s">
        <v>281</v>
      </c>
      <c r="I33" s="145" t="n">
        <f aca="false">I32</f>
        <v>119209.39510153</v>
      </c>
    </row>
    <row r="35" customFormat="false" ht="18" hidden="false" customHeight="true" outlineLevel="0" collapsed="false">
      <c r="A35" s="147" t="s">
        <v>284</v>
      </c>
      <c r="B35" s="147"/>
      <c r="C35" s="147"/>
      <c r="D35" s="147"/>
      <c r="E35" s="147"/>
      <c r="F35" s="147"/>
      <c r="G35" s="147"/>
      <c r="H35" s="147"/>
      <c r="I35" s="147"/>
    </row>
    <row r="36" customFormat="false" ht="15" hidden="false" customHeight="true" outlineLevel="0" collapsed="false">
      <c r="A36" s="108" t="s">
        <v>285</v>
      </c>
      <c r="I36" s="148" t="n">
        <f aca="false">I17</f>
        <v>466008.33</v>
      </c>
    </row>
    <row r="37" customFormat="false" ht="15" hidden="false" customHeight="true" outlineLevel="0" collapsed="false">
      <c r="A37" s="108" t="s">
        <v>286</v>
      </c>
      <c r="I37" s="148" t="n">
        <f aca="false">I33</f>
        <v>119209.39510153</v>
      </c>
    </row>
    <row r="38" customFormat="false" ht="17.25" hidden="false" customHeight="true" outlineLevel="0" collapsed="false">
      <c r="A38" s="149" t="s">
        <v>287</v>
      </c>
      <c r="I38" s="125" t="n">
        <f aca="false">I36+I37</f>
        <v>585217.72510153</v>
      </c>
    </row>
    <row r="39" customFormat="false" ht="15" hidden="false" customHeight="true" outlineLevel="0" collapsed="false">
      <c r="A39" s="108" t="s">
        <v>288</v>
      </c>
      <c r="I39" s="150" t="n">
        <f aca="false">D17+D33</f>
        <v>50312.73</v>
      </c>
    </row>
    <row r="41" customFormat="false" ht="15" hidden="false" customHeight="true" outlineLevel="0" collapsed="false">
      <c r="A41" s="82" t="s">
        <v>289</v>
      </c>
    </row>
    <row r="42" customFormat="false" ht="15" hidden="false" customHeight="true" outlineLevel="0" collapsed="false">
      <c r="A42" s="84" t="s">
        <v>290</v>
      </c>
    </row>
    <row r="43" customFormat="false" ht="15" hidden="false" customHeight="true" outlineLevel="0" collapsed="false">
      <c r="A43" s="84" t="s">
        <v>291</v>
      </c>
    </row>
    <row r="44" customFormat="false" ht="15" hidden="false" customHeight="true" outlineLevel="0" collapsed="false">
      <c r="A44" s="84" t="s">
        <v>292</v>
      </c>
    </row>
    <row r="45" customFormat="false" ht="15" hidden="false" customHeight="true" outlineLevel="0" collapsed="false">
      <c r="A45" s="84" t="s">
        <v>293</v>
      </c>
    </row>
    <row r="46" customFormat="false" ht="15" hidden="false" customHeight="true" outlineLevel="0" collapsed="false">
      <c r="A46" s="84" t="s">
        <v>294</v>
      </c>
    </row>
    <row r="47" customFormat="false" ht="15" hidden="false" customHeight="true" outlineLevel="0" collapsed="false">
      <c r="A47" s="84"/>
    </row>
    <row r="48" customFormat="false" ht="15" hidden="false" customHeight="true" outlineLevel="0" collapsed="false">
      <c r="A48" s="84" t="s">
        <v>295</v>
      </c>
    </row>
    <row r="49" customFormat="false" ht="15" hidden="false" customHeight="true" outlineLevel="0" collapsed="false">
      <c r="A49" s="84" t="s">
        <v>296</v>
      </c>
    </row>
  </sheetData>
  <mergeCells count="5">
    <mergeCell ref="A1:I1"/>
    <mergeCell ref="A2:I2"/>
    <mergeCell ref="A4:I4"/>
    <mergeCell ref="A20:I20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S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6"/>
    <col collapsed="false" customWidth="true" hidden="false" outlineLevel="0" max="4" min="4" style="1" width="5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2"/>
    <col collapsed="false" customWidth="true" hidden="false" outlineLevel="0" max="15" min="14" style="1" width="16"/>
    <col collapsed="false" customWidth="true" hidden="false" outlineLevel="0" max="16" min="16" style="1" width="11"/>
    <col collapsed="false" customWidth="true" hidden="false" outlineLevel="0" max="17" min="17" style="1" width="12"/>
    <col collapsed="false" customWidth="true" hidden="false" outlineLevel="0" max="19" min="18" style="1" width="14"/>
  </cols>
  <sheetData>
    <row r="1" customFormat="false" ht="15" hidden="false" customHeight="true" outlineLevel="0" collapsed="false">
      <c r="A1" s="2"/>
      <c r="B1" s="3" t="s">
        <v>297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5" hidden="false" customHeight="true" outlineLevel="0" collapsed="false">
      <c r="B2" s="151" t="s">
        <v>298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</row>
    <row r="3" customFormat="false" ht="15" hidden="false" customHeight="true" outlineLevel="0" collapsed="false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customFormat="false" ht="15" hidden="false" customHeight="true" outlineLevel="0" collapsed="false">
      <c r="B4" s="1" t="s">
        <v>2</v>
      </c>
      <c r="C4" s="6" t="s">
        <v>3</v>
      </c>
      <c r="J4" s="1" t="s">
        <v>4</v>
      </c>
      <c r="K4" s="6" t="s">
        <v>5</v>
      </c>
    </row>
    <row r="5" customFormat="false" ht="15" hidden="false" customHeight="true" outlineLevel="0" collapsed="false">
      <c r="B5" s="1" t="s">
        <v>6</v>
      </c>
      <c r="C5" s="6" t="s">
        <v>7</v>
      </c>
      <c r="J5" s="1" t="s">
        <v>8</v>
      </c>
      <c r="K5" s="7" t="n">
        <v>44279</v>
      </c>
    </row>
    <row r="6" customFormat="false" ht="15" hidden="false" customHeight="true" outlineLevel="0" collapsed="false">
      <c r="B6" s="1" t="s">
        <v>11</v>
      </c>
      <c r="C6" s="8" t="n">
        <v>162126.24</v>
      </c>
      <c r="E6" s="1" t="s">
        <v>299</v>
      </c>
      <c r="F6" s="1" t="s">
        <v>300</v>
      </c>
      <c r="J6" s="1" t="s">
        <v>14</v>
      </c>
      <c r="K6" s="1" t="s">
        <v>301</v>
      </c>
    </row>
    <row r="7" customFormat="false" ht="15" hidden="false" customHeight="true" outlineLevel="0" collapsed="false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customFormat="false" ht="15" hidden="false" customHeight="true" outlineLevel="0" collapsed="false">
      <c r="B8" s="10" t="s">
        <v>16</v>
      </c>
      <c r="C8" s="10"/>
      <c r="D8" s="10"/>
      <c r="E8" s="11"/>
      <c r="F8" s="10" t="s">
        <v>17</v>
      </c>
      <c r="G8" s="10"/>
      <c r="H8" s="11"/>
      <c r="I8" s="10" t="s">
        <v>18</v>
      </c>
      <c r="J8" s="10"/>
      <c r="K8" s="10" t="s">
        <v>19</v>
      </c>
      <c r="L8" s="10"/>
      <c r="M8" s="10"/>
      <c r="N8" s="10"/>
      <c r="O8" s="11"/>
      <c r="P8" s="10" t="s">
        <v>20</v>
      </c>
      <c r="Q8" s="10"/>
      <c r="R8" s="10" t="s">
        <v>21</v>
      </c>
      <c r="S8" s="10"/>
    </row>
    <row r="9" customFormat="false" ht="21.75" hidden="false" customHeight="true" outlineLevel="0" collapsed="false">
      <c r="B9" s="14" t="s">
        <v>22</v>
      </c>
      <c r="C9" s="14" t="s">
        <v>23</v>
      </c>
      <c r="D9" s="14" t="s">
        <v>24</v>
      </c>
      <c r="E9" s="14" t="s">
        <v>25</v>
      </c>
      <c r="F9" s="14" t="s">
        <v>302</v>
      </c>
      <c r="G9" s="14" t="s">
        <v>27</v>
      </c>
      <c r="H9" s="14" t="s">
        <v>28</v>
      </c>
      <c r="I9" s="14" t="s">
        <v>29</v>
      </c>
      <c r="J9" s="14" t="s">
        <v>30</v>
      </c>
      <c r="K9" s="14" t="s">
        <v>283</v>
      </c>
      <c r="L9" s="14" t="s">
        <v>303</v>
      </c>
      <c r="M9" s="14" t="s">
        <v>304</v>
      </c>
      <c r="N9" s="14" t="s">
        <v>305</v>
      </c>
      <c r="O9" s="14" t="s">
        <v>35</v>
      </c>
      <c r="P9" s="14" t="s">
        <v>306</v>
      </c>
      <c r="Q9" s="14" t="s">
        <v>37</v>
      </c>
      <c r="R9" s="15" t="s">
        <v>307</v>
      </c>
      <c r="S9" s="15" t="s">
        <v>308</v>
      </c>
    </row>
    <row r="10" customFormat="false" ht="15" hidden="false" customHeight="true" outlineLevel="0" collapsed="false">
      <c r="B10" s="16" t="s">
        <v>40</v>
      </c>
      <c r="C10" s="17" t="n">
        <v>2021</v>
      </c>
      <c r="D10" s="18" t="s">
        <v>41</v>
      </c>
      <c r="E10" s="19" t="n">
        <v>44279</v>
      </c>
      <c r="F10" s="20" t="n">
        <v>23569.58</v>
      </c>
      <c r="G10" s="21" t="n">
        <v>23569.58</v>
      </c>
      <c r="H10" s="21" t="n">
        <v>162126.24</v>
      </c>
      <c r="I10" s="23"/>
      <c r="J10" s="23"/>
      <c r="K10" s="23"/>
      <c r="L10" s="23"/>
      <c r="M10" s="23"/>
      <c r="N10" s="23"/>
      <c r="O10" s="20" t="n">
        <f aca="false">H10</f>
        <v>162126.24</v>
      </c>
      <c r="P10" s="23"/>
      <c r="Q10" s="23"/>
      <c r="R10" s="23"/>
      <c r="S10" s="23"/>
    </row>
    <row r="11" customFormat="false" ht="15" hidden="false" customHeight="true" outlineLevel="0" collapsed="false">
      <c r="B11" s="40" t="n">
        <v>1</v>
      </c>
      <c r="C11" s="41" t="n">
        <v>2021</v>
      </c>
      <c r="D11" s="40" t="s">
        <v>42</v>
      </c>
      <c r="E11" s="42" t="n">
        <f aca="false">'Parcelas Mensais'!E11</f>
        <v>44298</v>
      </c>
      <c r="F11" s="44" t="n">
        <f aca="false">H11/120</f>
        <v>1351.052</v>
      </c>
      <c r="G11" s="152" t="n">
        <f aca="false">'Parcelas Mensais'!G11</f>
        <v>1392.72</v>
      </c>
      <c r="H11" s="44" t="n">
        <f aca="false">O10</f>
        <v>162126.24</v>
      </c>
      <c r="I11" s="45" t="n">
        <f aca="false">'Parcelas Mensais'!I11</f>
        <v>5692.31</v>
      </c>
      <c r="J11" s="46" t="n">
        <f aca="false">'Parcelas Mensais'!J11</f>
        <v>0.00309971240871799</v>
      </c>
      <c r="K11" s="47"/>
      <c r="L11" s="44" t="n">
        <f aca="false">O11</f>
        <v>160733.52</v>
      </c>
      <c r="M11" s="47"/>
      <c r="N11" s="44" t="n">
        <f aca="false">O11</f>
        <v>160733.52</v>
      </c>
      <c r="O11" s="44" t="n">
        <f aca="false">H11-IF(G11="",0,G11)</f>
        <v>160733.52</v>
      </c>
      <c r="P11" s="44" t="n">
        <f aca="false">'Parcelas Mensais'!P11</f>
        <v>0</v>
      </c>
      <c r="Q11" s="44" t="n">
        <f aca="false">'Parcelas Mensais'!Q11</f>
        <v>0</v>
      </c>
      <c r="R11" s="47"/>
      <c r="S11" s="47"/>
    </row>
    <row r="12" customFormat="false" ht="15" hidden="false" customHeight="true" outlineLevel="0" collapsed="false">
      <c r="B12" s="34" t="n">
        <v>2</v>
      </c>
      <c r="C12" s="35" t="n">
        <v>2021</v>
      </c>
      <c r="D12" s="34" t="s">
        <v>43</v>
      </c>
      <c r="E12" s="36" t="n">
        <f aca="false">'Parcelas Mensais'!E12</f>
        <v>44323</v>
      </c>
      <c r="F12" s="38" t="n">
        <f aca="false">H12/119</f>
        <v>1350.7018487395</v>
      </c>
      <c r="G12" s="152" t="n">
        <f aca="false">'Parcelas Mensais'!G12</f>
        <v>1392.72</v>
      </c>
      <c r="H12" s="38" t="n">
        <f aca="false">O11</f>
        <v>160733.52</v>
      </c>
      <c r="I12" s="22" t="n">
        <f aca="false">'Parcelas Mensais'!I12</f>
        <v>5739.56</v>
      </c>
      <c r="J12" s="39" t="n">
        <f aca="false">'Parcelas Mensais'!J12</f>
        <v>0.00830067231053825</v>
      </c>
      <c r="K12" s="24"/>
      <c r="L12" s="38" t="n">
        <f aca="false">O12</f>
        <v>159340.8</v>
      </c>
      <c r="M12" s="24"/>
      <c r="N12" s="38" t="n">
        <f aca="false">O12</f>
        <v>159340.8</v>
      </c>
      <c r="O12" s="38" t="n">
        <f aca="false">H12-IF(G12="",0,G12)</f>
        <v>159340.8</v>
      </c>
      <c r="P12" s="38" t="n">
        <f aca="false">'Parcelas Mensais'!P12</f>
        <v>0</v>
      </c>
      <c r="Q12" s="38" t="n">
        <f aca="false">'Parcelas Mensais'!Q12</f>
        <v>0</v>
      </c>
      <c r="R12" s="24"/>
      <c r="S12" s="24"/>
    </row>
    <row r="13" customFormat="false" ht="15" hidden="false" customHeight="true" outlineLevel="0" collapsed="false">
      <c r="B13" s="40" t="n">
        <v>3</v>
      </c>
      <c r="C13" s="41" t="n">
        <v>2021</v>
      </c>
      <c r="D13" s="40" t="s">
        <v>44</v>
      </c>
      <c r="E13" s="42" t="n">
        <f aca="false">'Parcelas Mensais'!E13</f>
        <v>44357</v>
      </c>
      <c r="F13" s="44" t="n">
        <f aca="false">H13/118</f>
        <v>1350.34576271186</v>
      </c>
      <c r="G13" s="152" t="n">
        <f aca="false">'Parcelas Mensais'!G13</f>
        <v>1392.72</v>
      </c>
      <c r="H13" s="44" t="n">
        <f aca="false">O12</f>
        <v>159340.8</v>
      </c>
      <c r="I13" s="45" t="n">
        <f aca="false">'Parcelas Mensais'!I13</f>
        <v>5769.98</v>
      </c>
      <c r="J13" s="46" t="n">
        <f aca="false">'Parcelas Mensais'!J13</f>
        <v>0.00530005784415516</v>
      </c>
      <c r="K13" s="47"/>
      <c r="L13" s="44" t="n">
        <f aca="false">O13</f>
        <v>157948.08</v>
      </c>
      <c r="M13" s="47"/>
      <c r="N13" s="44" t="n">
        <f aca="false">O13</f>
        <v>157948.08</v>
      </c>
      <c r="O13" s="44" t="n">
        <f aca="false">H13-IF(G13="",0,G13)</f>
        <v>157948.08</v>
      </c>
      <c r="P13" s="44" t="n">
        <f aca="false">'Parcelas Mensais'!P13</f>
        <v>0</v>
      </c>
      <c r="Q13" s="44" t="n">
        <f aca="false">'Parcelas Mensais'!Q13</f>
        <v>0</v>
      </c>
      <c r="R13" s="47"/>
      <c r="S13" s="47"/>
    </row>
    <row r="14" customFormat="false" ht="15" hidden="false" customHeight="true" outlineLevel="0" collapsed="false">
      <c r="B14" s="34" t="n">
        <v>4</v>
      </c>
      <c r="C14" s="35" t="n">
        <v>2021</v>
      </c>
      <c r="D14" s="34" t="s">
        <v>45</v>
      </c>
      <c r="E14" s="36" t="n">
        <f aca="false">'Parcelas Mensais'!E14</f>
        <v>44386</v>
      </c>
      <c r="F14" s="38" t="n">
        <f aca="false">H14/117</f>
        <v>1349.98358974359</v>
      </c>
      <c r="G14" s="152" t="n">
        <f aca="false">'Parcelas Mensais'!G14</f>
        <v>1392.72</v>
      </c>
      <c r="H14" s="38" t="n">
        <f aca="false">O13</f>
        <v>157948.08</v>
      </c>
      <c r="I14" s="22" t="n">
        <f aca="false">'Parcelas Mensais'!I14</f>
        <v>5825.37</v>
      </c>
      <c r="J14" s="39" t="n">
        <f aca="false">'Parcelas Mensais'!J14</f>
        <v>0.00959968665402659</v>
      </c>
      <c r="K14" s="24"/>
      <c r="L14" s="38" t="n">
        <f aca="false">O14</f>
        <v>156555.36</v>
      </c>
      <c r="M14" s="24"/>
      <c r="N14" s="38" t="n">
        <f aca="false">O14</f>
        <v>156555.36</v>
      </c>
      <c r="O14" s="38" t="n">
        <f aca="false">H14-IF(G14="",0,G14)</f>
        <v>156555.36</v>
      </c>
      <c r="P14" s="38" t="n">
        <f aca="false">'Parcelas Mensais'!P14</f>
        <v>0</v>
      </c>
      <c r="Q14" s="38" t="n">
        <f aca="false">'Parcelas Mensais'!Q14</f>
        <v>0</v>
      </c>
      <c r="R14" s="24"/>
      <c r="S14" s="24"/>
    </row>
    <row r="15" customFormat="false" ht="15" hidden="false" customHeight="true" outlineLevel="0" collapsed="false">
      <c r="B15" s="40" t="n">
        <v>5</v>
      </c>
      <c r="C15" s="41" t="n">
        <v>2021</v>
      </c>
      <c r="D15" s="40" t="s">
        <v>46</v>
      </c>
      <c r="E15" s="42" t="n">
        <f aca="false">'Parcelas Mensais'!E15</f>
        <v>44413</v>
      </c>
      <c r="F15" s="44" t="n">
        <f aca="false">H15/116</f>
        <v>1349.61517241379</v>
      </c>
      <c r="G15" s="152" t="n">
        <f aca="false">'Parcelas Mensais'!G15</f>
        <v>1392.72</v>
      </c>
      <c r="H15" s="44" t="n">
        <f aca="false">O14</f>
        <v>156555.36</v>
      </c>
      <c r="I15" s="45" t="n">
        <f aca="false">'Parcelas Mensais'!I15</f>
        <v>5876.05</v>
      </c>
      <c r="J15" s="46" t="n">
        <f aca="false">'Parcelas Mensais'!J15</f>
        <v>0.00869987657436357</v>
      </c>
      <c r="K15" s="47"/>
      <c r="L15" s="44" t="n">
        <f aca="false">O15</f>
        <v>155162.64</v>
      </c>
      <c r="M15" s="47"/>
      <c r="N15" s="44" t="n">
        <f aca="false">O15</f>
        <v>155162.64</v>
      </c>
      <c r="O15" s="44" t="n">
        <f aca="false">H15-IF(G15="",0,G15)</f>
        <v>155162.64</v>
      </c>
      <c r="P15" s="44" t="n">
        <f aca="false">'Parcelas Mensais'!P15</f>
        <v>0</v>
      </c>
      <c r="Q15" s="44" t="n">
        <f aca="false">'Parcelas Mensais'!Q15</f>
        <v>0</v>
      </c>
      <c r="R15" s="47"/>
      <c r="S15" s="47"/>
    </row>
    <row r="16" customFormat="false" ht="15" hidden="false" customHeight="true" outlineLevel="0" collapsed="false">
      <c r="B16" s="34" t="n">
        <v>6</v>
      </c>
      <c r="C16" s="35" t="n">
        <v>2021</v>
      </c>
      <c r="D16" s="34" t="s">
        <v>47</v>
      </c>
      <c r="E16" s="36" t="n">
        <f aca="false">'Parcelas Mensais'!E16</f>
        <v>44449</v>
      </c>
      <c r="F16" s="38" t="n">
        <f aca="false">H16/115</f>
        <v>1349.24034782609</v>
      </c>
      <c r="G16" s="152" t="n">
        <f aca="false">'Parcelas Mensais'!G16</f>
        <v>1392.72</v>
      </c>
      <c r="H16" s="38" t="n">
        <f aca="false">O15</f>
        <v>155162.64</v>
      </c>
      <c r="I16" s="22" t="n">
        <f aca="false">'Parcelas Mensais'!I16</f>
        <v>5944.21</v>
      </c>
      <c r="J16" s="39" t="n">
        <f aca="false">'Parcelas Mensais'!J16</f>
        <v>0.0115996290024761</v>
      </c>
      <c r="K16" s="24"/>
      <c r="L16" s="38" t="n">
        <f aca="false">O16</f>
        <v>153769.92</v>
      </c>
      <c r="M16" s="24"/>
      <c r="N16" s="38" t="n">
        <f aca="false">O16</f>
        <v>153769.92</v>
      </c>
      <c r="O16" s="38" t="n">
        <f aca="false">H16-IF(G16="",0,G16)</f>
        <v>153769.92</v>
      </c>
      <c r="P16" s="38" t="n">
        <f aca="false">'Parcelas Mensais'!P16</f>
        <v>0</v>
      </c>
      <c r="Q16" s="38" t="n">
        <f aca="false">'Parcelas Mensais'!Q16</f>
        <v>0</v>
      </c>
      <c r="R16" s="24"/>
      <c r="S16" s="24"/>
    </row>
    <row r="17" customFormat="false" ht="15" hidden="false" customHeight="true" outlineLevel="0" collapsed="false">
      <c r="B17" s="40" t="n">
        <v>7</v>
      </c>
      <c r="C17" s="41" t="n">
        <v>2021</v>
      </c>
      <c r="D17" s="40" t="s">
        <v>48</v>
      </c>
      <c r="E17" s="42" t="n">
        <f aca="false">'Parcelas Mensais'!E17</f>
        <v>44480</v>
      </c>
      <c r="F17" s="44" t="n">
        <f aca="false">H17/114</f>
        <v>1348.85894736842</v>
      </c>
      <c r="G17" s="152" t="n">
        <f aca="false">'Parcelas Mensais'!G17</f>
        <v>1392.72</v>
      </c>
      <c r="H17" s="44" t="n">
        <f aca="false">O16</f>
        <v>153769.92</v>
      </c>
      <c r="I17" s="45" t="n">
        <f aca="false">'Parcelas Mensais'!I17</f>
        <v>6018.51</v>
      </c>
      <c r="J17" s="46" t="n">
        <f aca="false">'Parcelas Mensais'!J17</f>
        <v>0.0124995583937984</v>
      </c>
      <c r="K17" s="47"/>
      <c r="L17" s="44" t="n">
        <f aca="false">O17</f>
        <v>152377.2</v>
      </c>
      <c r="M17" s="47"/>
      <c r="N17" s="44" t="n">
        <f aca="false">O17</f>
        <v>152377.2</v>
      </c>
      <c r="O17" s="44" t="n">
        <f aca="false">H17-IF(G17="",0,G17)</f>
        <v>152377.2</v>
      </c>
      <c r="P17" s="44" t="n">
        <f aca="false">'Parcelas Mensais'!P17</f>
        <v>0</v>
      </c>
      <c r="Q17" s="44" t="n">
        <f aca="false">'Parcelas Mensais'!Q17</f>
        <v>0</v>
      </c>
      <c r="R17" s="47"/>
      <c r="S17" s="47"/>
    </row>
    <row r="18" customFormat="false" ht="15" hidden="false" customHeight="true" outlineLevel="0" collapsed="false">
      <c r="B18" s="34" t="n">
        <v>8</v>
      </c>
      <c r="C18" s="35" t="n">
        <v>2021</v>
      </c>
      <c r="D18" s="34" t="s">
        <v>49</v>
      </c>
      <c r="E18" s="36" t="n">
        <f aca="false">'Parcelas Mensais'!E18</f>
        <v>44510</v>
      </c>
      <c r="F18" s="38" t="n">
        <f aca="false">H18/113</f>
        <v>1348.47079646018</v>
      </c>
      <c r="G18" s="152" t="n">
        <f aca="false">'Parcelas Mensais'!G18</f>
        <v>1392.72</v>
      </c>
      <c r="H18" s="38" t="n">
        <f aca="false">O17</f>
        <v>152377.2</v>
      </c>
      <c r="I18" s="22" t="n">
        <f aca="false">'Parcelas Mensais'!I18</f>
        <v>6075.69</v>
      </c>
      <c r="J18" s="39" t="n">
        <f aca="false">'Parcelas Mensais'!J18</f>
        <v>0.00950069037020781</v>
      </c>
      <c r="K18" s="24"/>
      <c r="L18" s="38" t="n">
        <f aca="false">O18</f>
        <v>150984.48</v>
      </c>
      <c r="M18" s="24"/>
      <c r="N18" s="38" t="n">
        <f aca="false">O18</f>
        <v>150984.48</v>
      </c>
      <c r="O18" s="38" t="n">
        <f aca="false">H18-IF(G18="",0,G18)</f>
        <v>150984.48</v>
      </c>
      <c r="P18" s="38" t="n">
        <f aca="false">'Parcelas Mensais'!P18</f>
        <v>0</v>
      </c>
      <c r="Q18" s="38" t="n">
        <f aca="false">'Parcelas Mensais'!Q18</f>
        <v>0</v>
      </c>
      <c r="R18" s="24"/>
      <c r="S18" s="24"/>
    </row>
    <row r="19" customFormat="false" ht="15" hidden="false" customHeight="true" outlineLevel="0" collapsed="false">
      <c r="B19" s="40" t="n">
        <v>9</v>
      </c>
      <c r="C19" s="41" t="n">
        <v>2021</v>
      </c>
      <c r="D19" s="40" t="s">
        <v>50</v>
      </c>
      <c r="E19" s="42" t="n">
        <f aca="false">'Parcelas Mensais'!E19</f>
        <v>44540</v>
      </c>
      <c r="F19" s="44" t="n">
        <f aca="false">H19/112</f>
        <v>1348.07571428571</v>
      </c>
      <c r="G19" s="152" t="n">
        <f aca="false">'Parcelas Mensais'!G19</f>
        <v>1392.72</v>
      </c>
      <c r="H19" s="44" t="n">
        <f aca="false">O18</f>
        <v>150984.48</v>
      </c>
      <c r="I19" s="45" t="n">
        <f aca="false">'Parcelas Mensais'!I19</f>
        <v>6120.04</v>
      </c>
      <c r="J19" s="46" t="n">
        <f aca="false">'Parcelas Mensais'!J19</f>
        <v>0.00729958243425856</v>
      </c>
      <c r="K19" s="47"/>
      <c r="L19" s="44" t="n">
        <f aca="false">O19</f>
        <v>149591.76</v>
      </c>
      <c r="M19" s="47"/>
      <c r="N19" s="44" t="n">
        <f aca="false">O19</f>
        <v>149591.76</v>
      </c>
      <c r="O19" s="44" t="n">
        <f aca="false">H19-IF(G19="",0,G19)</f>
        <v>149591.76</v>
      </c>
      <c r="P19" s="44" t="n">
        <f aca="false">'Parcelas Mensais'!P19</f>
        <v>0</v>
      </c>
      <c r="Q19" s="44" t="n">
        <f aca="false">'Parcelas Mensais'!Q19</f>
        <v>0</v>
      </c>
      <c r="R19" s="47"/>
      <c r="S19" s="153" t="n">
        <f aca="false">'Parcelas Mensais'!S19</f>
        <v>5000</v>
      </c>
    </row>
    <row r="20" customFormat="false" ht="15" hidden="false" customHeight="true" outlineLevel="0" collapsed="false">
      <c r="B20" s="34" t="n">
        <v>10</v>
      </c>
      <c r="C20" s="35" t="n">
        <v>2022</v>
      </c>
      <c r="D20" s="34" t="s">
        <v>51</v>
      </c>
      <c r="E20" s="36" t="n">
        <f aca="false">'Parcelas Mensais'!E20</f>
        <v>44572</v>
      </c>
      <c r="F20" s="38" t="n">
        <f aca="false">H20/111</f>
        <v>1347.67351351351</v>
      </c>
      <c r="G20" s="152" t="n">
        <f aca="false">'Parcelas Mensais'!G20</f>
        <v>1392.72</v>
      </c>
      <c r="H20" s="38" t="n">
        <f aca="false">O19</f>
        <v>149591.76</v>
      </c>
      <c r="I20" s="22" t="n">
        <f aca="false">'Parcelas Mensais'!I20</f>
        <v>6153.09</v>
      </c>
      <c r="J20" s="39" t="n">
        <f aca="false">'Parcelas Mensais'!J20</f>
        <v>0.00540029150136277</v>
      </c>
      <c r="K20" s="24"/>
      <c r="L20" s="38" t="n">
        <f aca="false">O20</f>
        <v>148199.04</v>
      </c>
      <c r="M20" s="24"/>
      <c r="N20" s="38" t="n">
        <f aca="false">O20</f>
        <v>148199.04</v>
      </c>
      <c r="O20" s="38" t="n">
        <f aca="false">H20-IF(G20="",0,G20)</f>
        <v>148199.04</v>
      </c>
      <c r="P20" s="38" t="n">
        <f aca="false">'Parcelas Mensais'!P20</f>
        <v>27.021</v>
      </c>
      <c r="Q20" s="38" t="n">
        <f aca="false">'Parcelas Mensais'!Q20</f>
        <v>0.4458465</v>
      </c>
      <c r="R20" s="24"/>
      <c r="S20" s="24"/>
    </row>
    <row r="21" customFormat="false" ht="15" hidden="false" customHeight="true" outlineLevel="0" collapsed="false">
      <c r="B21" s="40" t="n">
        <v>11</v>
      </c>
      <c r="C21" s="41" t="n">
        <v>2022</v>
      </c>
      <c r="D21" s="40" t="s">
        <v>52</v>
      </c>
      <c r="E21" s="42" t="n">
        <f aca="false">'Parcelas Mensais'!E21</f>
        <v>44602</v>
      </c>
      <c r="F21" s="44" t="n">
        <f aca="false">H21/110</f>
        <v>1347.264</v>
      </c>
      <c r="G21" s="152" t="n">
        <f aca="false">'Parcelas Mensais'!G21</f>
        <v>1392.72</v>
      </c>
      <c r="H21" s="44" t="n">
        <f aca="false">O20</f>
        <v>148199.04</v>
      </c>
      <c r="I21" s="45" t="n">
        <f aca="false">'Parcelas Mensais'!I21</f>
        <v>6215.24</v>
      </c>
      <c r="J21" s="46" t="n">
        <f aca="false">'Parcelas Mensais'!J21</f>
        <v>0.0101006161132049</v>
      </c>
      <c r="K21" s="47"/>
      <c r="L21" s="44" t="n">
        <f aca="false">O21</f>
        <v>146806.32</v>
      </c>
      <c r="M21" s="47"/>
      <c r="N21" s="44" t="n">
        <f aca="false">O21</f>
        <v>146806.32</v>
      </c>
      <c r="O21" s="44" t="n">
        <f aca="false">H21-IF(G21="",0,G21)</f>
        <v>146806.32</v>
      </c>
      <c r="P21" s="44" t="n">
        <f aca="false">'Parcelas Mensais'!P21</f>
        <v>0</v>
      </c>
      <c r="Q21" s="44" t="n">
        <f aca="false">'Parcelas Mensais'!Q21</f>
        <v>0</v>
      </c>
      <c r="R21" s="47"/>
      <c r="S21" s="47"/>
    </row>
    <row r="22" customFormat="false" ht="15" hidden="false" customHeight="true" outlineLevel="0" collapsed="false">
      <c r="B22" s="49" t="n">
        <v>12</v>
      </c>
      <c r="C22" s="50" t="n">
        <v>2022</v>
      </c>
      <c r="D22" s="49" t="s">
        <v>41</v>
      </c>
      <c r="E22" s="51" t="n">
        <f aca="false">'Parcelas Mensais'!E22</f>
        <v>44630</v>
      </c>
      <c r="F22" s="53" t="n">
        <f aca="false">H22/109</f>
        <v>1346.84697247706</v>
      </c>
      <c r="G22" s="152" t="n">
        <f aca="false">'Parcelas Mensais'!G22</f>
        <v>1392.72</v>
      </c>
      <c r="H22" s="53" t="n">
        <f aca="false">O21</f>
        <v>146806.32</v>
      </c>
      <c r="I22" s="54" t="n">
        <f aca="false">'Parcelas Mensais'!I22</f>
        <v>6315.93</v>
      </c>
      <c r="J22" s="55" t="n">
        <f aca="false">'Parcelas Mensais'!J22</f>
        <v>0.0162005007047195</v>
      </c>
      <c r="K22" s="154" t="n">
        <v>0.112993</v>
      </c>
      <c r="L22" s="155" t="n">
        <v>161844.34</v>
      </c>
      <c r="M22" s="155" t="n">
        <v>17302.13</v>
      </c>
      <c r="N22" s="156" t="n">
        <f aca="false">L22+M22</f>
        <v>179146.47</v>
      </c>
      <c r="O22" s="53" t="n">
        <f aca="false">H22-IF(G22="",0,G22)</f>
        <v>145413.6</v>
      </c>
      <c r="P22" s="53" t="n">
        <f aca="false">'Parcelas Mensais'!P22</f>
        <v>0</v>
      </c>
      <c r="Q22" s="53" t="n">
        <f aca="false">'Parcelas Mensais'!Q22</f>
        <v>0</v>
      </c>
      <c r="R22" s="157"/>
      <c r="S22" s="157"/>
    </row>
    <row r="23" customFormat="false" ht="15" hidden="false" customHeight="true" outlineLevel="0" collapsed="false">
      <c r="B23" s="40" t="n">
        <v>13</v>
      </c>
      <c r="C23" s="41" t="n">
        <v>2022</v>
      </c>
      <c r="D23" s="40" t="s">
        <v>42</v>
      </c>
      <c r="E23" s="42" t="n">
        <f aca="false">'Parcelas Mensais'!E23</f>
        <v>44662</v>
      </c>
      <c r="F23" s="44" t="n">
        <f aca="false">H23/108</f>
        <v>1658.76361111111</v>
      </c>
      <c r="G23" s="152" t="n">
        <f aca="false">'Parcelas Mensais'!G23</f>
        <v>1392.72</v>
      </c>
      <c r="H23" s="44" t="n">
        <f aca="false">N22</f>
        <v>179146.47</v>
      </c>
      <c r="I23" s="45" t="n">
        <f aca="false">'Parcelas Mensais'!I23</f>
        <v>6382.88</v>
      </c>
      <c r="J23" s="46" t="n">
        <f aca="false">'Parcelas Mensais'!J23</f>
        <v>0.0106001808126436</v>
      </c>
      <c r="K23" s="47"/>
      <c r="L23" s="44" t="n">
        <f aca="false">O23</f>
        <v>177753.75</v>
      </c>
      <c r="M23" s="47"/>
      <c r="N23" s="44" t="n">
        <f aca="false">O23</f>
        <v>177753.75</v>
      </c>
      <c r="O23" s="44" t="n">
        <f aca="false">H23-IF(G23="",0,G23)</f>
        <v>177753.75</v>
      </c>
      <c r="P23" s="44" t="n">
        <f aca="false">'Parcelas Mensais'!P23</f>
        <v>0</v>
      </c>
      <c r="Q23" s="44" t="n">
        <f aca="false">'Parcelas Mensais'!Q23</f>
        <v>0</v>
      </c>
      <c r="R23" s="153" t="n">
        <f aca="false">Reajustes!I21</f>
        <v>45000</v>
      </c>
      <c r="S23" s="47"/>
    </row>
    <row r="24" customFormat="false" ht="15" hidden="false" customHeight="true" outlineLevel="0" collapsed="false">
      <c r="B24" s="34" t="n">
        <v>14</v>
      </c>
      <c r="C24" s="35" t="n">
        <v>2022</v>
      </c>
      <c r="D24" s="34" t="s">
        <v>43</v>
      </c>
      <c r="E24" s="36" t="n">
        <f aca="false">'Parcelas Mensais'!E24</f>
        <v>44691</v>
      </c>
      <c r="F24" s="38" t="n">
        <f aca="false">H24/107</f>
        <v>1661.25</v>
      </c>
      <c r="G24" s="152" t="n">
        <f aca="false">'Parcelas Mensais'!G24</f>
        <v>1392.72</v>
      </c>
      <c r="H24" s="38" t="n">
        <f aca="false">O23</f>
        <v>177753.75</v>
      </c>
      <c r="I24" s="22" t="n">
        <f aca="false">'Parcelas Mensais'!I24</f>
        <v>6412.88</v>
      </c>
      <c r="J24" s="39" t="n">
        <f aca="false">'Parcelas Mensais'!J24</f>
        <v>0.00470007269445767</v>
      </c>
      <c r="K24" s="24"/>
      <c r="L24" s="38" t="n">
        <f aca="false">O24</f>
        <v>176361.03</v>
      </c>
      <c r="M24" s="24"/>
      <c r="N24" s="38" t="n">
        <f aca="false">O24</f>
        <v>176361.03</v>
      </c>
      <c r="O24" s="38" t="n">
        <f aca="false">H24-IF(G24="",0,G24)</f>
        <v>176361.03</v>
      </c>
      <c r="P24" s="38" t="n">
        <f aca="false">'Parcelas Mensais'!P24</f>
        <v>0</v>
      </c>
      <c r="Q24" s="38" t="n">
        <f aca="false">'Parcelas Mensais'!Q24</f>
        <v>0</v>
      </c>
      <c r="R24" s="24"/>
      <c r="S24" s="24"/>
    </row>
    <row r="25" customFormat="false" ht="15" hidden="false" customHeight="true" outlineLevel="0" collapsed="false">
      <c r="B25" s="40" t="n">
        <v>15</v>
      </c>
      <c r="C25" s="41" t="n">
        <v>2022</v>
      </c>
      <c r="D25" s="40" t="s">
        <v>44</v>
      </c>
      <c r="E25" s="42" t="n">
        <f aca="false">'Parcelas Mensais'!E25</f>
        <v>44726</v>
      </c>
      <c r="F25" s="44" t="n">
        <f aca="false">H25/106</f>
        <v>1663.78330188679</v>
      </c>
      <c r="G25" s="152" t="n">
        <f aca="false">'Parcelas Mensais'!G25</f>
        <v>1392.72</v>
      </c>
      <c r="H25" s="44" t="n">
        <f aca="false">O24</f>
        <v>176361.03</v>
      </c>
      <c r="I25" s="45" t="n">
        <f aca="false">'Parcelas Mensais'!I25</f>
        <v>6455.85</v>
      </c>
      <c r="J25" s="46" t="n">
        <f aca="false">'Parcelas Mensais'!J25</f>
        <v>0.00670057758760499</v>
      </c>
      <c r="K25" s="47"/>
      <c r="L25" s="44" t="n">
        <f aca="false">O25</f>
        <v>174968.31</v>
      </c>
      <c r="M25" s="47"/>
      <c r="N25" s="44" t="n">
        <f aca="false">O25</f>
        <v>174968.31</v>
      </c>
      <c r="O25" s="44" t="n">
        <f aca="false">H25-IF(G25="",0,G25)</f>
        <v>174968.31</v>
      </c>
      <c r="P25" s="44" t="n">
        <f aca="false">'Parcelas Mensais'!P25</f>
        <v>33.2893349141633</v>
      </c>
      <c r="Q25" s="44" t="n">
        <f aca="false">'Parcelas Mensais'!Q25</f>
        <v>2.19709610433478</v>
      </c>
      <c r="R25" s="47"/>
      <c r="S25" s="47"/>
    </row>
    <row r="26" customFormat="false" ht="15" hidden="false" customHeight="true" outlineLevel="0" collapsed="false">
      <c r="B26" s="34" t="n">
        <v>16</v>
      </c>
      <c r="C26" s="35" t="n">
        <v>2022</v>
      </c>
      <c r="D26" s="34" t="s">
        <v>45</v>
      </c>
      <c r="E26" s="36" t="n">
        <f aca="false">'Parcelas Mensais'!E26</f>
        <v>44783</v>
      </c>
      <c r="F26" s="38" t="n">
        <f aca="false">H26/105</f>
        <v>1666.36485714286</v>
      </c>
      <c r="G26" s="152" t="n">
        <f aca="false">'Parcelas Mensais'!G26</f>
        <v>1392.72</v>
      </c>
      <c r="H26" s="38" t="n">
        <f aca="false">O25</f>
        <v>174968.31</v>
      </c>
      <c r="I26" s="22" t="n">
        <f aca="false">'Parcelas Mensais'!I26</f>
        <v>6411.95</v>
      </c>
      <c r="J26" s="39" t="n">
        <f aca="false">'Parcelas Mensais'!J26</f>
        <v>-0.00680003407761961</v>
      </c>
      <c r="K26" s="24"/>
      <c r="L26" s="38" t="n">
        <f aca="false">O26</f>
        <v>173575.59</v>
      </c>
      <c r="M26" s="24"/>
      <c r="N26" s="38" t="n">
        <f aca="false">O26</f>
        <v>173575.59</v>
      </c>
      <c r="O26" s="38" t="n">
        <f aca="false">H26-IF(G26="",0,G26)</f>
        <v>173575.59</v>
      </c>
      <c r="P26" s="38" t="n">
        <f aca="false">'Parcelas Mensais'!P26</f>
        <v>33.2893349141633</v>
      </c>
      <c r="Q26" s="38" t="n">
        <f aca="false">'Parcelas Mensais'!Q26</f>
        <v>16.4782207825108</v>
      </c>
      <c r="R26" s="24"/>
      <c r="S26" s="24"/>
    </row>
    <row r="27" customFormat="false" ht="15" hidden="false" customHeight="true" outlineLevel="0" collapsed="false">
      <c r="B27" s="40" t="n">
        <v>17</v>
      </c>
      <c r="C27" s="41" t="n">
        <v>2022</v>
      </c>
      <c r="D27" s="40" t="s">
        <v>46</v>
      </c>
      <c r="E27" s="42" t="n">
        <f aca="false">'Parcelas Mensais'!E27</f>
        <v>44844</v>
      </c>
      <c r="F27" s="44" t="n">
        <f aca="false">H27/104</f>
        <v>1668.99605769231</v>
      </c>
      <c r="G27" s="152" t="n">
        <f aca="false">'Parcelas Mensais'!G27</f>
        <v>1392.72</v>
      </c>
      <c r="H27" s="44" t="n">
        <f aca="false">O26</f>
        <v>173575.59</v>
      </c>
      <c r="I27" s="45" t="n">
        <f aca="false">'Parcelas Mensais'!I27</f>
        <v>6388.87</v>
      </c>
      <c r="J27" s="46" t="n">
        <f aca="false">'Parcelas Mensais'!J27</f>
        <v>-0.00359952900443702</v>
      </c>
      <c r="K27" s="47"/>
      <c r="L27" s="44" t="n">
        <f aca="false">O27</f>
        <v>172182.87</v>
      </c>
      <c r="M27" s="47"/>
      <c r="N27" s="44" t="n">
        <f aca="false">O27</f>
        <v>172182.87</v>
      </c>
      <c r="O27" s="44" t="n">
        <f aca="false">H27-IF(G27="",0,G27)</f>
        <v>172182.87</v>
      </c>
      <c r="P27" s="44" t="n">
        <f aca="false">'Parcelas Mensais'!P27</f>
        <v>33.2893349141633</v>
      </c>
      <c r="Q27" s="44" t="n">
        <f aca="false">'Parcelas Mensais'!Q27</f>
        <v>33.5057155911053</v>
      </c>
      <c r="R27" s="47"/>
      <c r="S27" s="47"/>
    </row>
    <row r="28" customFormat="false" ht="15" hidden="false" customHeight="true" outlineLevel="0" collapsed="false">
      <c r="B28" s="34" t="n">
        <v>18</v>
      </c>
      <c r="C28" s="35" t="n">
        <v>2022</v>
      </c>
      <c r="D28" s="34" t="s">
        <v>47</v>
      </c>
      <c r="E28" s="36" t="n">
        <f aca="false">'Parcelas Mensais'!E28</f>
        <v>44876</v>
      </c>
      <c r="F28" s="38" t="n">
        <f aca="false">H28/103</f>
        <v>1671.67834951456</v>
      </c>
      <c r="G28" s="152" t="n">
        <f aca="false">'Parcelas Mensais'!G28</f>
        <v>1392.72</v>
      </c>
      <c r="H28" s="38" t="n">
        <f aca="false">O27</f>
        <v>172182.87</v>
      </c>
      <c r="I28" s="22" t="n">
        <f aca="false">'Parcelas Mensais'!I28</f>
        <v>6370.34</v>
      </c>
      <c r="J28" s="39" t="n">
        <f aca="false">'Parcelas Mensais'!J28</f>
        <v>-0.00290035640105367</v>
      </c>
      <c r="K28" s="24"/>
      <c r="L28" s="38" t="n">
        <f aca="false">O28</f>
        <v>170790.15</v>
      </c>
      <c r="M28" s="24"/>
      <c r="N28" s="38" t="n">
        <f aca="false">O28</f>
        <v>170790.15</v>
      </c>
      <c r="O28" s="38" t="n">
        <f aca="false">H28-IF(G28="",0,G28)</f>
        <v>170790.15</v>
      </c>
      <c r="P28" s="38" t="n">
        <f aca="false">'Parcelas Mensais'!P28</f>
        <v>33.2893349141633</v>
      </c>
      <c r="Q28" s="38" t="n">
        <f aca="false">'Parcelas Mensais'!Q28</f>
        <v>32.9564415650216</v>
      </c>
      <c r="R28" s="24"/>
      <c r="S28" s="24"/>
    </row>
    <row r="29" customFormat="false" ht="15" hidden="false" customHeight="true" outlineLevel="0" collapsed="false">
      <c r="B29" s="40" t="n">
        <v>19</v>
      </c>
      <c r="C29" s="41" t="n">
        <v>2022</v>
      </c>
      <c r="D29" s="40" t="s">
        <v>48</v>
      </c>
      <c r="E29" s="42" t="n">
        <f aca="false">'Parcelas Mensais'!E29</f>
        <v>44908</v>
      </c>
      <c r="F29" s="44" t="n">
        <f aca="false">H29/102</f>
        <v>1674.41323529412</v>
      </c>
      <c r="G29" s="152" t="n">
        <f aca="false">'Parcelas Mensais'!G29</f>
        <v>1351.05</v>
      </c>
      <c r="H29" s="44" t="n">
        <f aca="false">O28</f>
        <v>170790.15</v>
      </c>
      <c r="I29" s="45" t="n">
        <f aca="false">'Parcelas Mensais'!I29</f>
        <v>6407.93</v>
      </c>
      <c r="J29" s="46" t="n">
        <f aca="false">'Parcelas Mensais'!J29</f>
        <v>0.0059007839455979</v>
      </c>
      <c r="K29" s="47"/>
      <c r="L29" s="44" t="n">
        <f aca="false">O29</f>
        <v>169439.1</v>
      </c>
      <c r="M29" s="47"/>
      <c r="N29" s="44" t="n">
        <f aca="false">O29</f>
        <v>169439.1</v>
      </c>
      <c r="O29" s="44" t="n">
        <f aca="false">H29-IF(G29="",0,G29)</f>
        <v>169439.1</v>
      </c>
      <c r="P29" s="44" t="n">
        <f aca="false">'Parcelas Mensais'!P29</f>
        <v>33.2893349141633</v>
      </c>
      <c r="Q29" s="44" t="n">
        <f aca="false">'Parcelas Mensais'!Q29</f>
        <v>35.1535376693564</v>
      </c>
      <c r="R29" s="47"/>
      <c r="S29" s="153" t="n">
        <f aca="false">'Parcelas Mensais'!S29</f>
        <v>5000</v>
      </c>
    </row>
    <row r="30" customFormat="false" ht="15" hidden="false" customHeight="true" outlineLevel="0" collapsed="false">
      <c r="B30" s="34" t="n">
        <v>20</v>
      </c>
      <c r="C30" s="35" t="n">
        <v>2022</v>
      </c>
      <c r="D30" s="34" t="s">
        <v>49</v>
      </c>
      <c r="E30" s="36" t="n">
        <f aca="false">'Parcelas Mensais'!E30</f>
        <v>44937</v>
      </c>
      <c r="F30" s="38" t="n">
        <f aca="false">H30/101</f>
        <v>1677.61485148515</v>
      </c>
      <c r="G30" s="152" t="n">
        <f aca="false">'Parcelas Mensais'!G30</f>
        <v>1392.72</v>
      </c>
      <c r="H30" s="38" t="n">
        <f aca="false">O29</f>
        <v>169439.1</v>
      </c>
      <c r="I30" s="22" t="n">
        <f aca="false">'Parcelas Mensais'!I30</f>
        <v>6434.2</v>
      </c>
      <c r="J30" s="39" t="n">
        <f aca="false">'Parcelas Mensais'!J30</f>
        <v>0.00409960782967347</v>
      </c>
      <c r="K30" s="24"/>
      <c r="L30" s="38" t="n">
        <f aca="false">O30</f>
        <v>168046.38</v>
      </c>
      <c r="M30" s="24"/>
      <c r="N30" s="38" t="n">
        <f aca="false">O30</f>
        <v>168046.38</v>
      </c>
      <c r="O30" s="38" t="n">
        <f aca="false">H30-IF(G30="",0,G30)</f>
        <v>168046.38</v>
      </c>
      <c r="P30" s="38" t="n">
        <f aca="false">'Parcelas Mensais'!P30</f>
        <v>33.2893349141633</v>
      </c>
      <c r="Q30" s="38" t="n">
        <f aca="false">'Parcelas Mensais'!Q30</f>
        <v>34.054989617189</v>
      </c>
      <c r="R30" s="24"/>
      <c r="S30" s="24"/>
    </row>
    <row r="31" customFormat="false" ht="15" hidden="false" customHeight="true" outlineLevel="0" collapsed="false">
      <c r="B31" s="40" t="n">
        <v>21</v>
      </c>
      <c r="C31" s="41" t="n">
        <v>2022</v>
      </c>
      <c r="D31" s="40" t="s">
        <v>50</v>
      </c>
      <c r="E31" s="42" t="n">
        <f aca="false">'Parcelas Mensais'!E31</f>
        <v>44968</v>
      </c>
      <c r="F31" s="44" t="n">
        <f aca="false">H31/100</f>
        <v>1680.4638</v>
      </c>
      <c r="G31" s="152" t="n">
        <f aca="false">'Parcelas Mensais'!G31</f>
        <v>1500</v>
      </c>
      <c r="H31" s="44" t="n">
        <f aca="false">O30</f>
        <v>168046.38</v>
      </c>
      <c r="I31" s="45" t="n">
        <f aca="false">'Parcelas Mensais'!I31</f>
        <v>6474.09</v>
      </c>
      <c r="J31" s="46" t="n">
        <f aca="false">'Parcelas Mensais'!J31</f>
        <v>0.00619968294426663</v>
      </c>
      <c r="K31" s="47"/>
      <c r="L31" s="44" t="n">
        <f aca="false">O31</f>
        <v>166546.38</v>
      </c>
      <c r="M31" s="47"/>
      <c r="N31" s="44" t="n">
        <f aca="false">O31</f>
        <v>166546.38</v>
      </c>
      <c r="O31" s="44" t="n">
        <f aca="false">H31-IF(G31="",0,G31)</f>
        <v>166546.38</v>
      </c>
      <c r="P31" s="44" t="n">
        <f aca="false">'Parcelas Mensais'!P31</f>
        <v>33.2893349141633</v>
      </c>
      <c r="Q31" s="44" t="n">
        <f aca="false">'Parcelas Mensais'!Q31</f>
        <v>33.5057155911053</v>
      </c>
      <c r="R31" s="47"/>
      <c r="S31" s="47"/>
    </row>
    <row r="32" customFormat="false" ht="15" hidden="false" customHeight="true" outlineLevel="0" collapsed="false">
      <c r="B32" s="34" t="n">
        <v>22</v>
      </c>
      <c r="C32" s="35" t="n">
        <v>2023</v>
      </c>
      <c r="D32" s="34" t="s">
        <v>51</v>
      </c>
      <c r="E32" s="36" t="n">
        <f aca="false">'Parcelas Mensais'!E32</f>
        <v>44998</v>
      </c>
      <c r="F32" s="38" t="n">
        <f aca="false">H32/99</f>
        <v>1682.28666666667</v>
      </c>
      <c r="G32" s="152" t="n">
        <f aca="false">'Parcelas Mensais'!G32</f>
        <v>2000</v>
      </c>
      <c r="H32" s="38" t="n">
        <f aca="false">O31</f>
        <v>166546.38</v>
      </c>
      <c r="I32" s="22" t="n">
        <f aca="false">'Parcelas Mensais'!I32</f>
        <v>6508.4</v>
      </c>
      <c r="J32" s="39" t="n">
        <f aca="false">'Parcelas Mensais'!J32</f>
        <v>0.00529958650559376</v>
      </c>
      <c r="K32" s="24"/>
      <c r="L32" s="38" t="n">
        <f aca="false">O32</f>
        <v>164546.38</v>
      </c>
      <c r="M32" s="24"/>
      <c r="N32" s="38" t="n">
        <f aca="false">O32</f>
        <v>164546.38</v>
      </c>
      <c r="O32" s="38" t="n">
        <f aca="false">H32-IF(G32="",0,G32)</f>
        <v>164546.38</v>
      </c>
      <c r="P32" s="38" t="n">
        <f aca="false">'Parcelas Mensais'!P32</f>
        <v>33.2893349141633</v>
      </c>
      <c r="Q32" s="38" t="n">
        <f aca="false">'Parcelas Mensais'!Q32</f>
        <v>34.054989617189</v>
      </c>
      <c r="R32" s="24"/>
      <c r="S32" s="24"/>
    </row>
    <row r="33" customFormat="false" ht="15" hidden="false" customHeight="true" outlineLevel="0" collapsed="false">
      <c r="B33" s="40" t="n">
        <v>23</v>
      </c>
      <c r="C33" s="41" t="n">
        <v>2023</v>
      </c>
      <c r="D33" s="40" t="s">
        <v>52</v>
      </c>
      <c r="E33" s="42" t="n">
        <f aca="false">'Parcelas Mensais'!E33</f>
        <v>45028</v>
      </c>
      <c r="F33" s="44" t="n">
        <f aca="false">H33/98</f>
        <v>1679.04469387755</v>
      </c>
      <c r="G33" s="152" t="n">
        <f aca="false">'Parcelas Mensais'!G33</f>
        <v>1500</v>
      </c>
      <c r="H33" s="44" t="n">
        <f aca="false">O32</f>
        <v>164546.38</v>
      </c>
      <c r="I33" s="45" t="n">
        <f aca="false">'Parcelas Mensais'!I33</f>
        <v>6563.07</v>
      </c>
      <c r="J33" s="46" t="n">
        <f aca="false">'Parcelas Mensais'!J33</f>
        <v>0.00839991395734744</v>
      </c>
      <c r="K33" s="47"/>
      <c r="L33" s="44" t="n">
        <f aca="false">O33</f>
        <v>163046.38</v>
      </c>
      <c r="M33" s="47"/>
      <c r="N33" s="44" t="n">
        <f aca="false">O33</f>
        <v>163046.38</v>
      </c>
      <c r="O33" s="44" t="n">
        <f aca="false">H33-IF(G33="",0,G33)</f>
        <v>163046.38</v>
      </c>
      <c r="P33" s="44" t="n">
        <f aca="false">'Parcelas Mensais'!P33</f>
        <v>33.2893349141633</v>
      </c>
      <c r="Q33" s="44" t="n">
        <f aca="false">'Parcelas Mensais'!Q33</f>
        <v>33.5057155911053</v>
      </c>
      <c r="R33" s="47"/>
      <c r="S33" s="47"/>
    </row>
    <row r="34" customFormat="false" ht="15" hidden="false" customHeight="true" outlineLevel="0" collapsed="false">
      <c r="B34" s="49" t="n">
        <v>24</v>
      </c>
      <c r="C34" s="50" t="n">
        <v>2023</v>
      </c>
      <c r="D34" s="49" t="s">
        <v>41</v>
      </c>
      <c r="E34" s="51" t="n">
        <f aca="false">'Parcelas Mensais'!E34</f>
        <v>45056</v>
      </c>
      <c r="F34" s="53" t="n">
        <f aca="false">H34/97</f>
        <v>1680.89051546392</v>
      </c>
      <c r="G34" s="152" t="n">
        <f aca="false">'Parcelas Mensais'!G34</f>
        <v>1500</v>
      </c>
      <c r="H34" s="53" t="n">
        <f aca="false">O33</f>
        <v>163046.38</v>
      </c>
      <c r="I34" s="54" t="n">
        <f aca="false">'Parcelas Mensais'!I34</f>
        <v>6609.67</v>
      </c>
      <c r="J34" s="55" t="n">
        <f aca="false">'Parcelas Mensais'!J34</f>
        <v>0.00710033566608315</v>
      </c>
      <c r="K34" s="154" t="n">
        <v>0.046507</v>
      </c>
      <c r="L34" s="155" t="n">
        <v>169059.41</v>
      </c>
      <c r="M34" s="155" t="n">
        <v>18073.46</v>
      </c>
      <c r="N34" s="156" t="n">
        <f aca="false">L34+M34</f>
        <v>187132.87</v>
      </c>
      <c r="O34" s="53" t="n">
        <f aca="false">H34-IF(G34="",0,G34)</f>
        <v>161546.38</v>
      </c>
      <c r="P34" s="53" t="n">
        <f aca="false">'Parcelas Mensais'!P34</f>
        <v>33.2893349141633</v>
      </c>
      <c r="Q34" s="53" t="n">
        <f aca="false">'Parcelas Mensais'!Q34</f>
        <v>33.5057155911053</v>
      </c>
      <c r="R34" s="157"/>
      <c r="S34" s="157"/>
    </row>
    <row r="35" customFormat="false" ht="15" hidden="false" customHeight="true" outlineLevel="0" collapsed="false">
      <c r="B35" s="40" t="n">
        <v>25</v>
      </c>
      <c r="C35" s="41" t="n">
        <v>2023</v>
      </c>
      <c r="D35" s="40" t="s">
        <v>42</v>
      </c>
      <c r="E35" s="42" t="n">
        <f aca="false">'Parcelas Mensais'!E35</f>
        <v>45085</v>
      </c>
      <c r="F35" s="44" t="n">
        <f aca="false">H35/96</f>
        <v>1949.30072916667</v>
      </c>
      <c r="G35" s="152" t="n">
        <f aca="false">'Parcelas Mensais'!G35</f>
        <v>1500</v>
      </c>
      <c r="H35" s="44" t="n">
        <f aca="false">N34</f>
        <v>187132.87</v>
      </c>
      <c r="I35" s="45" t="n">
        <f aca="false">'Parcelas Mensais'!I35</f>
        <v>6649.99</v>
      </c>
      <c r="J35" s="46" t="n">
        <f aca="false">'Parcelas Mensais'!J35</f>
        <v>0.00610015326029888</v>
      </c>
      <c r="K35" s="47"/>
      <c r="L35" s="44" t="n">
        <f aca="false">O35</f>
        <v>185632.87</v>
      </c>
      <c r="M35" s="47"/>
      <c r="N35" s="44" t="n">
        <f aca="false">O35</f>
        <v>185632.87</v>
      </c>
      <c r="O35" s="44" t="n">
        <f aca="false">H35-IF(G35="",0,G35)</f>
        <v>185632.87</v>
      </c>
      <c r="P35" s="44" t="n">
        <f aca="false">'Parcelas Mensais'!P35</f>
        <v>38.5618994713383</v>
      </c>
      <c r="Q35" s="44" t="n">
        <f aca="false">'Parcelas Mensais'!Q35</f>
        <v>37.5400091353479</v>
      </c>
      <c r="R35" s="153" t="n">
        <f aca="false">Reajustes!I22</f>
        <v>46335.439948885</v>
      </c>
      <c r="S35" s="47"/>
    </row>
    <row r="36" customFormat="false" ht="15" hidden="false" customHeight="true" outlineLevel="0" collapsed="false">
      <c r="B36" s="34" t="n">
        <v>26</v>
      </c>
      <c r="C36" s="35" t="n">
        <v>2023</v>
      </c>
      <c r="D36" s="34" t="s">
        <v>43</v>
      </c>
      <c r="E36" s="36" t="n">
        <f aca="false">'Parcelas Mensais'!E36</f>
        <v>45118</v>
      </c>
      <c r="F36" s="38" t="n">
        <f aca="false">H36/95</f>
        <v>1954.03021052632</v>
      </c>
      <c r="G36" s="152" t="n">
        <f aca="false">'Parcelas Mensais'!G36</f>
        <v>1500</v>
      </c>
      <c r="H36" s="38" t="n">
        <f aca="false">O35</f>
        <v>185632.87</v>
      </c>
      <c r="I36" s="22" t="n">
        <f aca="false">'Parcelas Mensais'!I36</f>
        <v>6665.28</v>
      </c>
      <c r="J36" s="39" t="n">
        <f aca="false">'Parcelas Mensais'!J36</f>
        <v>0.00229925157782192</v>
      </c>
      <c r="K36" s="24"/>
      <c r="L36" s="38" t="n">
        <f aca="false">O36</f>
        <v>184132.87</v>
      </c>
      <c r="M36" s="24"/>
      <c r="N36" s="38" t="n">
        <f aca="false">O36</f>
        <v>184132.87</v>
      </c>
      <c r="O36" s="38" t="n">
        <f aca="false">H36-IF(G36="",0,G36)</f>
        <v>184132.87</v>
      </c>
      <c r="P36" s="38" t="n">
        <f aca="false">'Parcelas Mensais'!P36</f>
        <v>38.5618994713383</v>
      </c>
      <c r="Q36" s="38" t="n">
        <f aca="false">'Parcelas Mensais'!Q36</f>
        <v>39.4488231591791</v>
      </c>
      <c r="R36" s="24"/>
      <c r="S36" s="24"/>
    </row>
    <row r="37" customFormat="false" ht="15" hidden="false" customHeight="true" outlineLevel="0" collapsed="false">
      <c r="B37" s="40" t="n">
        <v>27</v>
      </c>
      <c r="C37" s="41" t="n">
        <v>2023</v>
      </c>
      <c r="D37" s="40" t="s">
        <v>44</v>
      </c>
      <c r="E37" s="42" t="n">
        <f aca="false">'Parcelas Mensais'!E37</f>
        <v>45148</v>
      </c>
      <c r="F37" s="44" t="n">
        <f aca="false">H37/94</f>
        <v>1958.86031914894</v>
      </c>
      <c r="G37" s="152" t="n">
        <f aca="false">'Parcelas Mensais'!G37</f>
        <v>1500</v>
      </c>
      <c r="H37" s="44" t="n">
        <f aca="false">O36</f>
        <v>184132.87</v>
      </c>
      <c r="I37" s="45" t="n">
        <f aca="false">'Parcelas Mensais'!I37</f>
        <v>6659.95</v>
      </c>
      <c r="J37" s="46" t="n">
        <f aca="false">'Parcelas Mensais'!J37</f>
        <v>-0.000799666330596753</v>
      </c>
      <c r="K37" s="47"/>
      <c r="L37" s="44" t="n">
        <f aca="false">O37</f>
        <v>182632.87</v>
      </c>
      <c r="M37" s="47"/>
      <c r="N37" s="44" t="n">
        <f aca="false">O37</f>
        <v>182632.87</v>
      </c>
      <c r="O37" s="44" t="n">
        <f aca="false">H37-IF(G37="",0,G37)</f>
        <v>182632.87</v>
      </c>
      <c r="P37" s="44" t="n">
        <f aca="false">'Parcelas Mensais'!P37</f>
        <v>38.5618994713383</v>
      </c>
      <c r="Q37" s="44" t="n">
        <f aca="false">'Parcelas Mensais'!Q37</f>
        <v>37.5400091353479</v>
      </c>
      <c r="R37" s="47"/>
      <c r="S37" s="47"/>
    </row>
    <row r="38" customFormat="false" ht="15" hidden="false" customHeight="true" outlineLevel="0" collapsed="false">
      <c r="B38" s="34" t="n">
        <v>28</v>
      </c>
      <c r="C38" s="35" t="n">
        <v>2023</v>
      </c>
      <c r="D38" s="34" t="s">
        <v>45</v>
      </c>
      <c r="E38" s="36" t="n">
        <f aca="false">'Parcelas Mensais'!E38</f>
        <v>45182</v>
      </c>
      <c r="F38" s="38" t="n">
        <f aca="false">H38/93</f>
        <v>1963.79430107527</v>
      </c>
      <c r="G38" s="152" t="n">
        <f aca="false">'Parcelas Mensais'!G38</f>
        <v>1500</v>
      </c>
      <c r="H38" s="38" t="n">
        <f aca="false">O37</f>
        <v>182632.87</v>
      </c>
      <c r="I38" s="22" t="n">
        <f aca="false">'Parcelas Mensais'!I38</f>
        <v>6667.94</v>
      </c>
      <c r="J38" s="39" t="n">
        <f aca="false">'Parcelas Mensais'!J38</f>
        <v>0.00119970870652179</v>
      </c>
      <c r="K38" s="24"/>
      <c r="L38" s="38" t="n">
        <f aca="false">O38</f>
        <v>181132.87</v>
      </c>
      <c r="M38" s="24"/>
      <c r="N38" s="38" t="n">
        <f aca="false">O38</f>
        <v>181132.87</v>
      </c>
      <c r="O38" s="38" t="n">
        <f aca="false">H38-IF(G38="",0,G38)</f>
        <v>181132.87</v>
      </c>
      <c r="P38" s="38" t="n">
        <f aca="false">'Parcelas Mensais'!P38</f>
        <v>38.5618994713383</v>
      </c>
      <c r="Q38" s="38" t="n">
        <f aca="false">'Parcelas Mensais'!Q38</f>
        <v>41.3576371830103</v>
      </c>
      <c r="R38" s="24"/>
      <c r="S38" s="24"/>
    </row>
    <row r="39" customFormat="false" ht="15" hidden="false" customHeight="true" outlineLevel="0" collapsed="false">
      <c r="B39" s="40" t="n">
        <v>29</v>
      </c>
      <c r="C39" s="41" t="n">
        <v>2023</v>
      </c>
      <c r="D39" s="40" t="s">
        <v>46</v>
      </c>
      <c r="E39" s="42" t="n">
        <f aca="false">'Parcelas Mensais'!E39</f>
        <v>0</v>
      </c>
      <c r="F39" s="44" t="n">
        <f aca="false">H39/92</f>
        <v>1968.83554347826</v>
      </c>
      <c r="G39" s="152" t="n">
        <f aca="false">'Parcelas Mensais'!G39</f>
        <v>0</v>
      </c>
      <c r="H39" s="44" t="n">
        <f aca="false">O38</f>
        <v>181132.87</v>
      </c>
      <c r="I39" s="45" t="n">
        <f aca="false">'Parcelas Mensais'!I39</f>
        <v>6683.28</v>
      </c>
      <c r="J39" s="46" t="n">
        <f aca="false">'Parcelas Mensais'!J39</f>
        <v>0.00230056059292677</v>
      </c>
      <c r="K39" s="47"/>
      <c r="L39" s="44" t="n">
        <f aca="false">O39</f>
        <v>181132.87</v>
      </c>
      <c r="M39" s="47"/>
      <c r="N39" s="44" t="n">
        <f aca="false">O39</f>
        <v>181132.87</v>
      </c>
      <c r="O39" s="44" t="n">
        <f aca="false">H39-IF(G39="",0,G39)</f>
        <v>181132.87</v>
      </c>
      <c r="P39" s="44" t="n">
        <f aca="false">'Parcelas Mensais'!P39</f>
        <v>0</v>
      </c>
      <c r="Q39" s="44" t="n">
        <f aca="false">'Parcelas Mensais'!Q39</f>
        <v>0</v>
      </c>
      <c r="R39" s="47"/>
      <c r="S39" s="47"/>
    </row>
    <row r="40" customFormat="false" ht="15" hidden="false" customHeight="true" outlineLevel="0" collapsed="false">
      <c r="B40" s="34" t="n">
        <v>30</v>
      </c>
      <c r="C40" s="35" t="n">
        <v>2023</v>
      </c>
      <c r="D40" s="34" t="s">
        <v>47</v>
      </c>
      <c r="E40" s="36" t="n">
        <f aca="false">'Parcelas Mensais'!E40</f>
        <v>0</v>
      </c>
      <c r="F40" s="38" t="n">
        <f aca="false">H40/91</f>
        <v>1990.4710989011</v>
      </c>
      <c r="G40" s="152" t="n">
        <f aca="false">'Parcelas Mensais'!G40</f>
        <v>0</v>
      </c>
      <c r="H40" s="38" t="n">
        <f aca="false">O39</f>
        <v>181132.87</v>
      </c>
      <c r="I40" s="22" t="n">
        <f aca="false">'Parcelas Mensais'!I40</f>
        <v>6700.66</v>
      </c>
      <c r="J40" s="39" t="n">
        <f aca="false">'Parcelas Mensais'!J40</f>
        <v>0.00260051950539258</v>
      </c>
      <c r="K40" s="24"/>
      <c r="L40" s="38" t="n">
        <f aca="false">O40</f>
        <v>181132.87</v>
      </c>
      <c r="M40" s="24"/>
      <c r="N40" s="38" t="n">
        <f aca="false">O40</f>
        <v>181132.87</v>
      </c>
      <c r="O40" s="38" t="n">
        <f aca="false">H40-IF(G40="",0,G40)</f>
        <v>181132.87</v>
      </c>
      <c r="P40" s="38" t="n">
        <f aca="false">'Parcelas Mensais'!P40</f>
        <v>0</v>
      </c>
      <c r="Q40" s="38" t="n">
        <f aca="false">'Parcelas Mensais'!Q40</f>
        <v>0</v>
      </c>
      <c r="R40" s="24"/>
      <c r="S40" s="24"/>
    </row>
    <row r="41" customFormat="false" ht="15" hidden="false" customHeight="true" outlineLevel="0" collapsed="false">
      <c r="B41" s="40" t="n">
        <v>31</v>
      </c>
      <c r="C41" s="41" t="n">
        <v>2023</v>
      </c>
      <c r="D41" s="40" t="s">
        <v>48</v>
      </c>
      <c r="E41" s="42" t="n">
        <f aca="false">'Parcelas Mensais'!E41</f>
        <v>0</v>
      </c>
      <c r="F41" s="44" t="n">
        <f aca="false">H41/90</f>
        <v>2012.58744444444</v>
      </c>
      <c r="G41" s="152" t="n">
        <f aca="false">'Parcelas Mensais'!G41</f>
        <v>0</v>
      </c>
      <c r="H41" s="44" t="n">
        <f aca="false">O40</f>
        <v>181132.87</v>
      </c>
      <c r="I41" s="45" t="n">
        <f aca="false">'Parcelas Mensais'!I41</f>
        <v>6716.74</v>
      </c>
      <c r="J41" s="46" t="n">
        <f aca="false">'Parcelas Mensais'!J41</f>
        <v>0.00239976360537618</v>
      </c>
      <c r="K41" s="47"/>
      <c r="L41" s="44" t="n">
        <f aca="false">O41</f>
        <v>181132.87</v>
      </c>
      <c r="M41" s="47"/>
      <c r="N41" s="44" t="n">
        <f aca="false">O41</f>
        <v>181132.87</v>
      </c>
      <c r="O41" s="44" t="n">
        <f aca="false">H41-IF(G41="",0,G41)</f>
        <v>181132.87</v>
      </c>
      <c r="P41" s="44" t="n">
        <f aca="false">'Parcelas Mensais'!P41</f>
        <v>0</v>
      </c>
      <c r="Q41" s="44" t="n">
        <f aca="false">'Parcelas Mensais'!Q41</f>
        <v>0</v>
      </c>
      <c r="R41" s="47"/>
      <c r="S41" s="47"/>
    </row>
    <row r="42" customFormat="false" ht="15" hidden="false" customHeight="true" outlineLevel="0" collapsed="false">
      <c r="B42" s="34" t="n">
        <v>32</v>
      </c>
      <c r="C42" s="35" t="n">
        <v>2023</v>
      </c>
      <c r="D42" s="34" t="s">
        <v>49</v>
      </c>
      <c r="E42" s="36" t="n">
        <f aca="false">'Parcelas Mensais'!E42</f>
        <v>0</v>
      </c>
      <c r="F42" s="38" t="n">
        <f aca="false">H42/89</f>
        <v>2035.20078651685</v>
      </c>
      <c r="G42" s="152" t="n">
        <f aca="false">'Parcelas Mensais'!G42</f>
        <v>0</v>
      </c>
      <c r="H42" s="38" t="n">
        <f aca="false">O41</f>
        <v>181132.87</v>
      </c>
      <c r="I42" s="22" t="n">
        <f aca="false">'Parcelas Mensais'!I42</f>
        <v>6735.55</v>
      </c>
      <c r="J42" s="39" t="n">
        <f aca="false">'Parcelas Mensais'!J42</f>
        <v>0.0028004657021115</v>
      </c>
      <c r="K42" s="24"/>
      <c r="L42" s="38" t="n">
        <f aca="false">O42</f>
        <v>181132.87</v>
      </c>
      <c r="M42" s="24"/>
      <c r="N42" s="38" t="n">
        <f aca="false">O42</f>
        <v>181132.87</v>
      </c>
      <c r="O42" s="38" t="n">
        <f aca="false">H42-IF(G42="",0,G42)</f>
        <v>181132.87</v>
      </c>
      <c r="P42" s="38" t="n">
        <f aca="false">'Parcelas Mensais'!P42</f>
        <v>0</v>
      </c>
      <c r="Q42" s="38" t="n">
        <f aca="false">'Parcelas Mensais'!Q42</f>
        <v>0</v>
      </c>
      <c r="R42" s="24"/>
      <c r="S42" s="24"/>
    </row>
    <row r="43" customFormat="false" ht="15" hidden="false" customHeight="true" outlineLevel="0" collapsed="false">
      <c r="B43" s="40" t="n">
        <v>33</v>
      </c>
      <c r="C43" s="41" t="n">
        <v>2023</v>
      </c>
      <c r="D43" s="40" t="s">
        <v>50</v>
      </c>
      <c r="E43" s="42" t="n">
        <f aca="false">'Parcelas Mensais'!E43</f>
        <v>0</v>
      </c>
      <c r="F43" s="44" t="n">
        <f aca="false">H43/88</f>
        <v>2058.32806818182</v>
      </c>
      <c r="G43" s="152" t="n">
        <f aca="false">'Parcelas Mensais'!G43</f>
        <v>0</v>
      </c>
      <c r="H43" s="44" t="n">
        <f aca="false">O42</f>
        <v>181132.87</v>
      </c>
      <c r="I43" s="45" t="n">
        <f aca="false">'Parcelas Mensais'!I43</f>
        <v>6773.27</v>
      </c>
      <c r="J43" s="46" t="n">
        <f aca="false">'Parcelas Mensais'!J43</f>
        <v>0.00560013658869732</v>
      </c>
      <c r="K43" s="47"/>
      <c r="L43" s="44" t="n">
        <f aca="false">O43</f>
        <v>181132.87</v>
      </c>
      <c r="M43" s="47"/>
      <c r="N43" s="44" t="n">
        <f aca="false">O43</f>
        <v>181132.87</v>
      </c>
      <c r="O43" s="44" t="n">
        <f aca="false">H43-IF(G43="",0,G43)</f>
        <v>181132.87</v>
      </c>
      <c r="P43" s="44" t="n">
        <f aca="false">'Parcelas Mensais'!P43</f>
        <v>0</v>
      </c>
      <c r="Q43" s="44" t="n">
        <f aca="false">'Parcelas Mensais'!Q43</f>
        <v>0</v>
      </c>
      <c r="R43" s="47"/>
      <c r="S43" s="47"/>
    </row>
    <row r="44" customFormat="false" ht="15" hidden="false" customHeight="true" outlineLevel="0" collapsed="false">
      <c r="B44" s="34" t="n">
        <v>34</v>
      </c>
      <c r="C44" s="35" t="n">
        <v>2024</v>
      </c>
      <c r="D44" s="34" t="s">
        <v>51</v>
      </c>
      <c r="E44" s="36" t="n">
        <f aca="false">'Parcelas Mensais'!E44</f>
        <v>0</v>
      </c>
      <c r="F44" s="38" t="n">
        <f aca="false">H44/87</f>
        <v>2081.98701149425</v>
      </c>
      <c r="G44" s="152" t="n">
        <f aca="false">'Parcelas Mensais'!G44</f>
        <v>0</v>
      </c>
      <c r="H44" s="38" t="n">
        <f aca="false">O43</f>
        <v>181132.87</v>
      </c>
      <c r="I44" s="22" t="n">
        <f aca="false">'Parcelas Mensais'!I44</f>
        <v>6801.72</v>
      </c>
      <c r="J44" s="39" t="n">
        <f aca="false">'Parcelas Mensais'!J44</f>
        <v>0.00420033455037225</v>
      </c>
      <c r="K44" s="24"/>
      <c r="L44" s="38" t="n">
        <f aca="false">O44</f>
        <v>181132.87</v>
      </c>
      <c r="M44" s="24"/>
      <c r="N44" s="38" t="n">
        <f aca="false">O44</f>
        <v>181132.87</v>
      </c>
      <c r="O44" s="38" t="n">
        <f aca="false">H44-IF(G44="",0,G44)</f>
        <v>181132.87</v>
      </c>
      <c r="P44" s="38" t="n">
        <f aca="false">'Parcelas Mensais'!P44</f>
        <v>0</v>
      </c>
      <c r="Q44" s="38" t="n">
        <f aca="false">'Parcelas Mensais'!Q44</f>
        <v>0</v>
      </c>
      <c r="R44" s="24"/>
      <c r="S44" s="24"/>
    </row>
    <row r="45" customFormat="false" ht="15" hidden="false" customHeight="true" outlineLevel="0" collapsed="false">
      <c r="B45" s="40" t="n">
        <v>35</v>
      </c>
      <c r="C45" s="41" t="n">
        <v>2024</v>
      </c>
      <c r="D45" s="40" t="s">
        <v>52</v>
      </c>
      <c r="E45" s="42" t="n">
        <f aca="false">'Parcelas Mensais'!E45</f>
        <v>0</v>
      </c>
      <c r="F45" s="44" t="n">
        <f aca="false">H45/86</f>
        <v>2106.1961627907</v>
      </c>
      <c r="G45" s="152" t="n">
        <f aca="false">'Parcelas Mensais'!G45</f>
        <v>0</v>
      </c>
      <c r="H45" s="44" t="n">
        <f aca="false">O44</f>
        <v>181132.87</v>
      </c>
      <c r="I45" s="45" t="n">
        <f aca="false">'Parcelas Mensais'!I45</f>
        <v>6858.17</v>
      </c>
      <c r="J45" s="46" t="n">
        <f aca="false">'Parcelas Mensais'!J45</f>
        <v>0.0082993713354857</v>
      </c>
      <c r="K45" s="47"/>
      <c r="L45" s="44" t="n">
        <f aca="false">O45</f>
        <v>181132.87</v>
      </c>
      <c r="M45" s="47"/>
      <c r="N45" s="44" t="n">
        <f aca="false">O45</f>
        <v>181132.87</v>
      </c>
      <c r="O45" s="44" t="n">
        <f aca="false">H45-IF(G45="",0,G45)</f>
        <v>181132.87</v>
      </c>
      <c r="P45" s="44" t="n">
        <f aca="false">'Parcelas Mensais'!P45</f>
        <v>0</v>
      </c>
      <c r="Q45" s="44" t="n">
        <f aca="false">'Parcelas Mensais'!Q45</f>
        <v>0</v>
      </c>
      <c r="R45" s="47"/>
      <c r="S45" s="47"/>
    </row>
    <row r="46" customFormat="false" ht="15" hidden="false" customHeight="true" outlineLevel="0" collapsed="false">
      <c r="B46" s="49" t="n">
        <v>36</v>
      </c>
      <c r="C46" s="50" t="n">
        <v>2024</v>
      </c>
      <c r="D46" s="49" t="s">
        <v>41</v>
      </c>
      <c r="E46" s="51" t="n">
        <f aca="false">'Parcelas Mensais'!E46</f>
        <v>0</v>
      </c>
      <c r="F46" s="53" t="n">
        <f aca="false">H46/85</f>
        <v>2130.97494117647</v>
      </c>
      <c r="G46" s="152" t="n">
        <f aca="false">'Parcelas Mensais'!G46</f>
        <v>0</v>
      </c>
      <c r="H46" s="53" t="n">
        <f aca="false">O45</f>
        <v>181132.87</v>
      </c>
      <c r="I46" s="54" t="n">
        <f aca="false">'Parcelas Mensais'!I46</f>
        <v>6869.14</v>
      </c>
      <c r="J46" s="55" t="n">
        <f aca="false">'Parcelas Mensais'!J46</f>
        <v>0.00159955206709665</v>
      </c>
      <c r="K46" s="154" t="n">
        <v>0.039256</v>
      </c>
      <c r="L46" s="155" t="n">
        <v>188243.41</v>
      </c>
      <c r="M46" s="155" t="n">
        <v>20124.35</v>
      </c>
      <c r="N46" s="156" t="n">
        <f aca="false">L46+M46</f>
        <v>208367.76</v>
      </c>
      <c r="O46" s="53" t="n">
        <f aca="false">H46-IF(G46="",0,G46)</f>
        <v>181132.87</v>
      </c>
      <c r="P46" s="53" t="n">
        <f aca="false">'Parcelas Mensais'!P46</f>
        <v>0</v>
      </c>
      <c r="Q46" s="53" t="n">
        <f aca="false">'Parcelas Mensais'!Q46</f>
        <v>0</v>
      </c>
      <c r="R46" s="157"/>
      <c r="S46" s="157"/>
    </row>
    <row r="47" customFormat="false" ht="15" hidden="false" customHeight="true" outlineLevel="0" collapsed="false">
      <c r="B47" s="40" t="n">
        <v>37</v>
      </c>
      <c r="C47" s="41" t="n">
        <v>2024</v>
      </c>
      <c r="D47" s="40" t="s">
        <v>42</v>
      </c>
      <c r="E47" s="42" t="n">
        <f aca="false">'Parcelas Mensais'!E47</f>
        <v>0</v>
      </c>
      <c r="F47" s="44" t="n">
        <f aca="false">H47/84</f>
        <v>2480.56857142857</v>
      </c>
      <c r="G47" s="152" t="n">
        <f aca="false">'Parcelas Mensais'!G47</f>
        <v>0</v>
      </c>
      <c r="H47" s="44" t="n">
        <f aca="false">N46</f>
        <v>208367.76</v>
      </c>
      <c r="I47" s="45" t="n">
        <f aca="false">'Parcelas Mensais'!I47</f>
        <v>6895.24</v>
      </c>
      <c r="J47" s="46" t="n">
        <f aca="false">'Parcelas Mensais'!J47</f>
        <v>0.00379960227917897</v>
      </c>
      <c r="K47" s="47"/>
      <c r="L47" s="44" t="n">
        <f aca="false">O47</f>
        <v>208367.76</v>
      </c>
      <c r="M47" s="47"/>
      <c r="N47" s="44" t="n">
        <f aca="false">O47</f>
        <v>208367.76</v>
      </c>
      <c r="O47" s="44" t="n">
        <f aca="false">H47-IF(G47="",0,G47)</f>
        <v>208367.76</v>
      </c>
      <c r="P47" s="44" t="n">
        <f aca="false">'Parcelas Mensais'!P47</f>
        <v>0</v>
      </c>
      <c r="Q47" s="44" t="n">
        <f aca="false">'Parcelas Mensais'!Q47</f>
        <v>0</v>
      </c>
      <c r="R47" s="153" t="n">
        <f aca="false">Reajustes!I23</f>
        <v>53302.3936455092</v>
      </c>
      <c r="S47" s="47"/>
    </row>
    <row r="48" customFormat="false" ht="15" hidden="false" customHeight="true" outlineLevel="0" collapsed="false">
      <c r="B48" s="34" t="n">
        <v>38</v>
      </c>
      <c r="C48" s="35" t="n">
        <v>2024</v>
      </c>
      <c r="D48" s="34" t="s">
        <v>43</v>
      </c>
      <c r="E48" s="36" t="n">
        <f aca="false">'Parcelas Mensais'!E48</f>
        <v>0</v>
      </c>
      <c r="F48" s="38" t="n">
        <f aca="false">H48/83</f>
        <v>2510.45493975904</v>
      </c>
      <c r="G48" s="152" t="n">
        <f aca="false">'Parcelas Mensais'!G48</f>
        <v>0</v>
      </c>
      <c r="H48" s="38" t="n">
        <f aca="false">O47</f>
        <v>208367.76</v>
      </c>
      <c r="I48" s="22" t="n">
        <f aca="false">'Parcelas Mensais'!I48</f>
        <v>6926.96</v>
      </c>
      <c r="J48" s="39" t="n">
        <f aca="false">'Parcelas Mensais'!J48</f>
        <v>0.00460027497229977</v>
      </c>
      <c r="K48" s="24"/>
      <c r="L48" s="38" t="n">
        <f aca="false">O48</f>
        <v>208367.76</v>
      </c>
      <c r="M48" s="24"/>
      <c r="N48" s="38" t="n">
        <f aca="false">O48</f>
        <v>208367.76</v>
      </c>
      <c r="O48" s="38" t="n">
        <f aca="false">H48-IF(G48="",0,G48)</f>
        <v>208367.76</v>
      </c>
      <c r="P48" s="38" t="n">
        <f aca="false">'Parcelas Mensais'!P48</f>
        <v>0</v>
      </c>
      <c r="Q48" s="38" t="n">
        <f aca="false">'Parcelas Mensais'!Q48</f>
        <v>0</v>
      </c>
      <c r="R48" s="24"/>
      <c r="S48" s="24"/>
    </row>
    <row r="49" customFormat="false" ht="15" hidden="false" customHeight="true" outlineLevel="0" collapsed="false">
      <c r="B49" s="40" t="n">
        <v>39</v>
      </c>
      <c r="C49" s="41" t="n">
        <v>2024</v>
      </c>
      <c r="D49" s="40" t="s">
        <v>44</v>
      </c>
      <c r="E49" s="42" t="n">
        <f aca="false">'Parcelas Mensais'!E49</f>
        <v>0</v>
      </c>
      <c r="F49" s="44" t="n">
        <f aca="false">H49/82</f>
        <v>2541.07024390244</v>
      </c>
      <c r="G49" s="152" t="n">
        <f aca="false">'Parcelas Mensais'!G49</f>
        <v>0</v>
      </c>
      <c r="H49" s="44" t="n">
        <f aca="false">O48</f>
        <v>208367.76</v>
      </c>
      <c r="I49" s="45" t="n">
        <f aca="false">'Parcelas Mensais'!I49</f>
        <v>6941.51</v>
      </c>
      <c r="J49" s="46" t="n">
        <f aca="false">'Parcelas Mensais'!J49</f>
        <v>0.00210048852599123</v>
      </c>
      <c r="K49" s="47"/>
      <c r="L49" s="44" t="n">
        <f aca="false">O49</f>
        <v>208367.76</v>
      </c>
      <c r="M49" s="47"/>
      <c r="N49" s="44" t="n">
        <f aca="false">O49</f>
        <v>208367.76</v>
      </c>
      <c r="O49" s="44" t="n">
        <f aca="false">H49-IF(G49="",0,G49)</f>
        <v>208367.76</v>
      </c>
      <c r="P49" s="44" t="n">
        <f aca="false">'Parcelas Mensais'!P49</f>
        <v>0</v>
      </c>
      <c r="Q49" s="44" t="n">
        <f aca="false">'Parcelas Mensais'!Q49</f>
        <v>0</v>
      </c>
      <c r="R49" s="47"/>
      <c r="S49" s="47"/>
    </row>
    <row r="50" customFormat="false" ht="15" hidden="false" customHeight="true" outlineLevel="0" collapsed="false">
      <c r="B50" s="34" t="n">
        <v>40</v>
      </c>
      <c r="C50" s="35" t="n">
        <v>2024</v>
      </c>
      <c r="D50" s="34" t="s">
        <v>45</v>
      </c>
      <c r="E50" s="36" t="n">
        <f aca="false">'Parcelas Mensais'!E50</f>
        <v>0</v>
      </c>
      <c r="F50" s="38" t="n">
        <f aca="false">H50/81</f>
        <v>2572.44148148148</v>
      </c>
      <c r="G50" s="152" t="n">
        <f aca="false">'Parcelas Mensais'!G50</f>
        <v>0</v>
      </c>
      <c r="H50" s="38" t="n">
        <f aca="false">O49</f>
        <v>208367.76</v>
      </c>
      <c r="I50" s="22" t="n">
        <f aca="false">'Parcelas Mensais'!I50</f>
        <v>6967.89</v>
      </c>
      <c r="J50" s="39" t="n">
        <f aca="false">'Parcelas Mensais'!J50</f>
        <v>0.00380032586569783</v>
      </c>
      <c r="K50" s="24"/>
      <c r="L50" s="38" t="n">
        <f aca="false">O50</f>
        <v>208367.76</v>
      </c>
      <c r="M50" s="24"/>
      <c r="N50" s="38" t="n">
        <f aca="false">O50</f>
        <v>208367.76</v>
      </c>
      <c r="O50" s="38" t="n">
        <f aca="false">H50-IF(G50="",0,G50)</f>
        <v>208367.76</v>
      </c>
      <c r="P50" s="38" t="n">
        <f aca="false">'Parcelas Mensais'!P50</f>
        <v>0</v>
      </c>
      <c r="Q50" s="38" t="n">
        <f aca="false">'Parcelas Mensais'!Q50</f>
        <v>0</v>
      </c>
      <c r="R50" s="24"/>
      <c r="S50" s="24"/>
    </row>
    <row r="51" customFormat="false" ht="15" hidden="false" customHeight="true" outlineLevel="0" collapsed="false">
      <c r="B51" s="40" t="n">
        <v>41</v>
      </c>
      <c r="C51" s="41" t="n">
        <v>2024</v>
      </c>
      <c r="D51" s="40" t="s">
        <v>46</v>
      </c>
      <c r="E51" s="42" t="n">
        <f aca="false">'Parcelas Mensais'!E51</f>
        <v>0</v>
      </c>
      <c r="F51" s="44" t="n">
        <f aca="false">H51/80</f>
        <v>2604.597</v>
      </c>
      <c r="G51" s="152" t="n">
        <f aca="false">'Parcelas Mensais'!G51</f>
        <v>0</v>
      </c>
      <c r="H51" s="44" t="n">
        <f aca="false">O50</f>
        <v>208367.76</v>
      </c>
      <c r="I51" s="45" t="n">
        <f aca="false">'Parcelas Mensais'!I51</f>
        <v>6966.5</v>
      </c>
      <c r="J51" s="46" t="n">
        <f aca="false">'Parcelas Mensais'!J51</f>
        <v>-0.000199486501652628</v>
      </c>
      <c r="K51" s="47"/>
      <c r="L51" s="44" t="n">
        <f aca="false">O51</f>
        <v>208367.76</v>
      </c>
      <c r="M51" s="47"/>
      <c r="N51" s="44" t="n">
        <f aca="false">O51</f>
        <v>208367.76</v>
      </c>
      <c r="O51" s="44" t="n">
        <f aca="false">H51-IF(G51="",0,G51)</f>
        <v>208367.76</v>
      </c>
      <c r="P51" s="44" t="n">
        <f aca="false">'Parcelas Mensais'!P51</f>
        <v>0</v>
      </c>
      <c r="Q51" s="44" t="n">
        <f aca="false">'Parcelas Mensais'!Q51</f>
        <v>0</v>
      </c>
      <c r="R51" s="47"/>
      <c r="S51" s="47"/>
    </row>
    <row r="52" customFormat="false" ht="15" hidden="false" customHeight="true" outlineLevel="0" collapsed="false">
      <c r="B52" s="34" t="n">
        <v>42</v>
      </c>
      <c r="C52" s="35" t="n">
        <v>2024</v>
      </c>
      <c r="D52" s="34" t="s">
        <v>47</v>
      </c>
      <c r="E52" s="36" t="n">
        <f aca="false">'Parcelas Mensais'!E52</f>
        <v>0</v>
      </c>
      <c r="F52" s="38" t="n">
        <f aca="false">H52/79</f>
        <v>2637.56658227848</v>
      </c>
      <c r="G52" s="152" t="n">
        <f aca="false">'Parcelas Mensais'!G52</f>
        <v>0</v>
      </c>
      <c r="H52" s="38" t="n">
        <f aca="false">O51</f>
        <v>208367.76</v>
      </c>
      <c r="I52" s="22" t="n">
        <f aca="false">'Parcelas Mensais'!I52</f>
        <v>6997.15</v>
      </c>
      <c r="J52" s="39" t="n">
        <f aca="false">'Parcelas Mensais'!J52</f>
        <v>0.00439962678532974</v>
      </c>
      <c r="K52" s="24"/>
      <c r="L52" s="38" t="n">
        <f aca="false">O52</f>
        <v>208367.76</v>
      </c>
      <c r="M52" s="24"/>
      <c r="N52" s="38" t="n">
        <f aca="false">O52</f>
        <v>208367.76</v>
      </c>
      <c r="O52" s="38" t="n">
        <f aca="false">H52-IF(G52="",0,G52)</f>
        <v>208367.76</v>
      </c>
      <c r="P52" s="38" t="n">
        <f aca="false">'Parcelas Mensais'!P52</f>
        <v>0</v>
      </c>
      <c r="Q52" s="38" t="n">
        <f aca="false">'Parcelas Mensais'!Q52</f>
        <v>0</v>
      </c>
      <c r="R52" s="24"/>
      <c r="S52" s="24"/>
    </row>
    <row r="53" customFormat="false" ht="15" hidden="false" customHeight="true" outlineLevel="0" collapsed="false">
      <c r="B53" s="40" t="n">
        <v>43</v>
      </c>
      <c r="C53" s="41" t="n">
        <v>2024</v>
      </c>
      <c r="D53" s="40" t="s">
        <v>48</v>
      </c>
      <c r="E53" s="42" t="n">
        <f aca="false">'Parcelas Mensais'!E53</f>
        <v>0</v>
      </c>
      <c r="F53" s="44" t="n">
        <f aca="false">H53/78</f>
        <v>2671.38153846154</v>
      </c>
      <c r="G53" s="152" t="n">
        <f aca="false">'Parcelas Mensais'!G53</f>
        <v>0</v>
      </c>
      <c r="H53" s="44" t="n">
        <f aca="false">O52</f>
        <v>208367.76</v>
      </c>
      <c r="I53" s="45" t="n">
        <f aca="false">'Parcelas Mensais'!I53</f>
        <v>7036.33</v>
      </c>
      <c r="J53" s="46" t="n">
        <f aca="false">'Parcelas Mensais'!J53</f>
        <v>0.0055994226220676</v>
      </c>
      <c r="K53" s="47"/>
      <c r="L53" s="44" t="n">
        <f aca="false">O53</f>
        <v>208367.76</v>
      </c>
      <c r="M53" s="47"/>
      <c r="N53" s="44" t="n">
        <f aca="false">O53</f>
        <v>208367.76</v>
      </c>
      <c r="O53" s="44" t="n">
        <f aca="false">H53-IF(G53="",0,G53)</f>
        <v>208367.76</v>
      </c>
      <c r="P53" s="44" t="n">
        <f aca="false">'Parcelas Mensais'!P53</f>
        <v>0</v>
      </c>
      <c r="Q53" s="44" t="n">
        <f aca="false">'Parcelas Mensais'!Q53</f>
        <v>0</v>
      </c>
      <c r="R53" s="47"/>
      <c r="S53" s="47"/>
    </row>
    <row r="54" customFormat="false" ht="15" hidden="false" customHeight="true" outlineLevel="0" collapsed="false">
      <c r="B54" s="34" t="n">
        <v>44</v>
      </c>
      <c r="C54" s="35" t="n">
        <v>2024</v>
      </c>
      <c r="D54" s="34" t="s">
        <v>49</v>
      </c>
      <c r="E54" s="36" t="n">
        <f aca="false">'Parcelas Mensais'!E54</f>
        <v>0</v>
      </c>
      <c r="F54" s="38" t="n">
        <f aca="false">H54/77</f>
        <v>2706.07480519481</v>
      </c>
      <c r="G54" s="152" t="n">
        <f aca="false">'Parcelas Mensais'!G54</f>
        <v>0</v>
      </c>
      <c r="H54" s="38" t="n">
        <f aca="false">O53</f>
        <v>208367.76</v>
      </c>
      <c r="I54" s="22" t="n">
        <f aca="false">'Parcelas Mensais'!I54</f>
        <v>7063.77</v>
      </c>
      <c r="J54" s="39" t="n">
        <f aca="false">'Parcelas Mensais'!J54</f>
        <v>0.00389976024433199</v>
      </c>
      <c r="K54" s="24"/>
      <c r="L54" s="38" t="n">
        <f aca="false">O54</f>
        <v>208367.76</v>
      </c>
      <c r="M54" s="24"/>
      <c r="N54" s="38" t="n">
        <f aca="false">O54</f>
        <v>208367.76</v>
      </c>
      <c r="O54" s="38" t="n">
        <f aca="false">H54-IF(G54="",0,G54)</f>
        <v>208367.76</v>
      </c>
      <c r="P54" s="38" t="n">
        <f aca="false">'Parcelas Mensais'!P54</f>
        <v>0</v>
      </c>
      <c r="Q54" s="38" t="n">
        <f aca="false">'Parcelas Mensais'!Q54</f>
        <v>0</v>
      </c>
      <c r="R54" s="24"/>
      <c r="S54" s="24"/>
    </row>
    <row r="55" customFormat="false" ht="15" hidden="false" customHeight="true" outlineLevel="0" collapsed="false">
      <c r="B55" s="40" t="n">
        <v>45</v>
      </c>
      <c r="C55" s="41" t="n">
        <v>2024</v>
      </c>
      <c r="D55" s="40" t="s">
        <v>50</v>
      </c>
      <c r="E55" s="42" t="n">
        <f aca="false">'Parcelas Mensais'!E55</f>
        <v>0</v>
      </c>
      <c r="F55" s="44" t="n">
        <f aca="false">H55/76</f>
        <v>2741.68105263158</v>
      </c>
      <c r="G55" s="152" t="n">
        <f aca="false">'Parcelas Mensais'!G55</f>
        <v>0</v>
      </c>
      <c r="H55" s="44" t="n">
        <f aca="false">O54</f>
        <v>208367.76</v>
      </c>
      <c r="I55" s="45" t="n">
        <f aca="false">'Parcelas Mensais'!I55</f>
        <v>7100.5</v>
      </c>
      <c r="J55" s="46" t="n">
        <f aca="false">'Parcelas Mensais'!J55</f>
        <v>0.00519977292578886</v>
      </c>
      <c r="K55" s="47"/>
      <c r="L55" s="44" t="n">
        <f aca="false">O55</f>
        <v>208367.76</v>
      </c>
      <c r="M55" s="47"/>
      <c r="N55" s="44" t="n">
        <f aca="false">O55</f>
        <v>208367.76</v>
      </c>
      <c r="O55" s="44" t="n">
        <f aca="false">H55-IF(G55="",0,G55)</f>
        <v>208367.76</v>
      </c>
      <c r="P55" s="44" t="n">
        <f aca="false">'Parcelas Mensais'!P55</f>
        <v>0</v>
      </c>
      <c r="Q55" s="44" t="n">
        <f aca="false">'Parcelas Mensais'!Q55</f>
        <v>0</v>
      </c>
      <c r="R55" s="47"/>
      <c r="S55" s="47"/>
    </row>
    <row r="56" customFormat="false" ht="15" hidden="false" customHeight="true" outlineLevel="0" collapsed="false">
      <c r="B56" s="34" t="n">
        <v>46</v>
      </c>
      <c r="C56" s="35" t="n">
        <v>2025</v>
      </c>
      <c r="D56" s="34" t="s">
        <v>51</v>
      </c>
      <c r="E56" s="36" t="n">
        <f aca="false">'Parcelas Mensais'!E56</f>
        <v>0</v>
      </c>
      <c r="F56" s="38" t="n">
        <f aca="false">H56/75</f>
        <v>2778.2368</v>
      </c>
      <c r="G56" s="152" t="n">
        <f aca="false">'Parcelas Mensais'!G56</f>
        <v>0</v>
      </c>
      <c r="H56" s="38" t="n">
        <f aca="false">O55</f>
        <v>208367.76</v>
      </c>
      <c r="I56" s="22" t="n">
        <f aca="false">'Parcelas Mensais'!I56</f>
        <v>7111.86</v>
      </c>
      <c r="J56" s="39" t="n">
        <f aca="false">'Parcelas Mensais'!J56</f>
        <v>0.00159988733187799</v>
      </c>
      <c r="K56" s="24"/>
      <c r="L56" s="38" t="n">
        <f aca="false">O56</f>
        <v>208367.76</v>
      </c>
      <c r="M56" s="24"/>
      <c r="N56" s="38" t="n">
        <f aca="false">O56</f>
        <v>208367.76</v>
      </c>
      <c r="O56" s="38" t="n">
        <f aca="false">H56-IF(G56="",0,G56)</f>
        <v>208367.76</v>
      </c>
      <c r="P56" s="38" t="n">
        <f aca="false">'Parcelas Mensais'!P56</f>
        <v>0</v>
      </c>
      <c r="Q56" s="38" t="n">
        <f aca="false">'Parcelas Mensais'!Q56</f>
        <v>0</v>
      </c>
      <c r="R56" s="24"/>
      <c r="S56" s="24"/>
    </row>
    <row r="57" customFormat="false" ht="15" hidden="false" customHeight="true" outlineLevel="0" collapsed="false">
      <c r="B57" s="40" t="n">
        <v>47</v>
      </c>
      <c r="C57" s="41" t="n">
        <v>2025</v>
      </c>
      <c r="D57" s="40" t="s">
        <v>52</v>
      </c>
      <c r="E57" s="42" t="n">
        <f aca="false">'Parcelas Mensais'!E57</f>
        <v>0</v>
      </c>
      <c r="F57" s="44" t="n">
        <f aca="false">H57/74</f>
        <v>2815.78054054054</v>
      </c>
      <c r="G57" s="152" t="n">
        <f aca="false">'Parcelas Mensais'!G57</f>
        <v>0</v>
      </c>
      <c r="H57" s="44" t="n">
        <f aca="false">O56</f>
        <v>208367.76</v>
      </c>
      <c r="I57" s="45" t="n">
        <f aca="false">'Parcelas Mensais'!I57</f>
        <v>7205.03</v>
      </c>
      <c r="J57" s="46" t="n">
        <f aca="false">'Parcelas Mensais'!J57</f>
        <v>0.0131006515876297</v>
      </c>
      <c r="K57" s="47"/>
      <c r="L57" s="44" t="n">
        <f aca="false">O57</f>
        <v>208367.76</v>
      </c>
      <c r="M57" s="47"/>
      <c r="N57" s="44" t="n">
        <f aca="false">O57</f>
        <v>208367.76</v>
      </c>
      <c r="O57" s="44" t="n">
        <f aca="false">H57-IF(G57="",0,G57)</f>
        <v>208367.76</v>
      </c>
      <c r="P57" s="44" t="n">
        <f aca="false">'Parcelas Mensais'!P57</f>
        <v>0</v>
      </c>
      <c r="Q57" s="44" t="n">
        <f aca="false">'Parcelas Mensais'!Q57</f>
        <v>0</v>
      </c>
      <c r="R57" s="47"/>
      <c r="S57" s="47"/>
    </row>
    <row r="58" customFormat="false" ht="15" hidden="false" customHeight="true" outlineLevel="0" collapsed="false">
      <c r="B58" s="49" t="n">
        <v>48</v>
      </c>
      <c r="C58" s="50" t="n">
        <v>2025</v>
      </c>
      <c r="D58" s="49" t="s">
        <v>41</v>
      </c>
      <c r="E58" s="51" t="n">
        <f aca="false">'Parcelas Mensais'!E58</f>
        <v>0</v>
      </c>
      <c r="F58" s="53" t="n">
        <f aca="false">H58/73</f>
        <v>2854.35287671233</v>
      </c>
      <c r="G58" s="152" t="n">
        <f aca="false">'Parcelas Mensais'!G58</f>
        <v>0</v>
      </c>
      <c r="H58" s="53" t="n">
        <f aca="false">O57</f>
        <v>208367.76</v>
      </c>
      <c r="I58" s="54" t="n">
        <f aca="false">'Parcelas Mensais'!I58</f>
        <v>7245.38</v>
      </c>
      <c r="J58" s="55" t="n">
        <f aca="false">'Parcelas Mensais'!J58</f>
        <v>0.00560025426681088</v>
      </c>
      <c r="K58" s="154" t="n">
        <v>0.054772</v>
      </c>
      <c r="L58" s="155" t="n">
        <v>219780.46</v>
      </c>
      <c r="M58" s="155" t="n">
        <v>23495.84</v>
      </c>
      <c r="N58" s="156" t="n">
        <f aca="false">L58+M58</f>
        <v>243276.3</v>
      </c>
      <c r="O58" s="53" t="n">
        <f aca="false">H58-IF(G58="",0,G58)</f>
        <v>208367.76</v>
      </c>
      <c r="P58" s="53" t="n">
        <f aca="false">'Parcelas Mensais'!P58</f>
        <v>0</v>
      </c>
      <c r="Q58" s="53" t="n">
        <f aca="false">'Parcelas Mensais'!Q58</f>
        <v>0</v>
      </c>
      <c r="R58" s="157"/>
      <c r="S58" s="157"/>
    </row>
    <row r="59" customFormat="false" ht="15" hidden="false" customHeight="true" outlineLevel="0" collapsed="false">
      <c r="B59" s="40" t="n">
        <v>49</v>
      </c>
      <c r="C59" s="41" t="n">
        <v>2025</v>
      </c>
      <c r="D59" s="40" t="s">
        <v>42</v>
      </c>
      <c r="E59" s="42" t="n">
        <f aca="false">'Parcelas Mensais'!E59</f>
        <v>0</v>
      </c>
      <c r="F59" s="44" t="n">
        <f aca="false">H59/72</f>
        <v>3378.8375</v>
      </c>
      <c r="G59" s="152" t="n">
        <f aca="false">'Parcelas Mensais'!G59</f>
        <v>0</v>
      </c>
      <c r="H59" s="44" t="n">
        <f aca="false">N58</f>
        <v>243276.3</v>
      </c>
      <c r="I59" s="45" t="n">
        <f aca="false">'Parcelas Mensais'!I59</f>
        <v>7276.53</v>
      </c>
      <c r="J59" s="46" t="n">
        <f aca="false">'Parcelas Mensais'!J59</f>
        <v>0.00429929141052638</v>
      </c>
      <c r="K59" s="47"/>
      <c r="L59" s="44" t="n">
        <f aca="false">O59</f>
        <v>243276.3</v>
      </c>
      <c r="M59" s="47"/>
      <c r="N59" s="44" t="n">
        <f aca="false">O59</f>
        <v>243276.3</v>
      </c>
      <c r="O59" s="44" t="n">
        <f aca="false">H59-IF(G59="",0,G59)</f>
        <v>243276.3</v>
      </c>
      <c r="P59" s="44" t="n">
        <f aca="false">'Parcelas Mensais'!P59</f>
        <v>0</v>
      </c>
      <c r="Q59" s="44" t="n">
        <f aca="false">'Parcelas Mensais'!Q59</f>
        <v>0</v>
      </c>
      <c r="R59" s="153" t="n">
        <f aca="false">Reajustes!I24</f>
        <v>62232.3703462687</v>
      </c>
      <c r="S59" s="47"/>
    </row>
    <row r="60" customFormat="false" ht="15" hidden="false" customHeight="true" outlineLevel="0" collapsed="false">
      <c r="B60" s="34" t="n">
        <v>50</v>
      </c>
      <c r="C60" s="35" t="n">
        <v>2025</v>
      </c>
      <c r="D60" s="34" t="s">
        <v>43</v>
      </c>
      <c r="E60" s="36" t="n">
        <f aca="false">'Parcelas Mensais'!E60</f>
        <v>0</v>
      </c>
      <c r="F60" s="38" t="n">
        <f aca="false">H60/71</f>
        <v>3426.42676056338</v>
      </c>
      <c r="G60" s="152" t="n">
        <f aca="false">'Parcelas Mensais'!G60</f>
        <v>0</v>
      </c>
      <c r="H60" s="38" t="n">
        <f aca="false">O59</f>
        <v>243276.3</v>
      </c>
      <c r="I60" s="22" t="n">
        <f aca="false">'Parcelas Mensais'!I60</f>
        <v>7295.45</v>
      </c>
      <c r="J60" s="39" t="n">
        <f aca="false">'Parcelas Mensais'!J60</f>
        <v>0.0026001404515614</v>
      </c>
      <c r="K60" s="24"/>
      <c r="L60" s="38" t="n">
        <f aca="false">O60</f>
        <v>243276.3</v>
      </c>
      <c r="M60" s="24"/>
      <c r="N60" s="38" t="n">
        <f aca="false">O60</f>
        <v>243276.3</v>
      </c>
      <c r="O60" s="38" t="n">
        <f aca="false">H60-IF(G60="",0,G60)</f>
        <v>243276.3</v>
      </c>
      <c r="P60" s="38" t="n">
        <f aca="false">'Parcelas Mensais'!P60</f>
        <v>0</v>
      </c>
      <c r="Q60" s="38" t="n">
        <f aca="false">'Parcelas Mensais'!Q60</f>
        <v>0</v>
      </c>
      <c r="R60" s="24"/>
      <c r="S60" s="24"/>
    </row>
    <row r="61" customFormat="false" ht="15" hidden="false" customHeight="true" outlineLevel="0" collapsed="false">
      <c r="B61" s="40" t="n">
        <v>51</v>
      </c>
      <c r="C61" s="41" t="n">
        <v>2025</v>
      </c>
      <c r="D61" s="40" t="s">
        <v>44</v>
      </c>
      <c r="E61" s="42" t="n">
        <f aca="false">'Parcelas Mensais'!E61</f>
        <v>0</v>
      </c>
      <c r="F61" s="44" t="n">
        <f aca="false">H61/70</f>
        <v>3475.37571428571</v>
      </c>
      <c r="G61" s="152" t="n">
        <f aca="false">'Parcelas Mensais'!G61</f>
        <v>0</v>
      </c>
      <c r="H61" s="44" t="n">
        <f aca="false">O60</f>
        <v>243276.3</v>
      </c>
      <c r="I61" s="45" t="n">
        <f aca="false">'Parcelas Mensais'!I61</f>
        <v>7312.96</v>
      </c>
      <c r="J61" s="46" t="n">
        <f aca="false">'Parcelas Mensais'!J61</f>
        <v>0.0024001261059976</v>
      </c>
      <c r="K61" s="47"/>
      <c r="L61" s="44" t="n">
        <f aca="false">O61</f>
        <v>243276.3</v>
      </c>
      <c r="M61" s="47"/>
      <c r="N61" s="44" t="n">
        <f aca="false">O61</f>
        <v>243276.3</v>
      </c>
      <c r="O61" s="44" t="n">
        <f aca="false">H61-IF(G61="",0,G61)</f>
        <v>243276.3</v>
      </c>
      <c r="P61" s="44" t="n">
        <f aca="false">'Parcelas Mensais'!P61</f>
        <v>0</v>
      </c>
      <c r="Q61" s="44" t="n">
        <f aca="false">'Parcelas Mensais'!Q61</f>
        <v>0</v>
      </c>
      <c r="R61" s="47"/>
      <c r="S61" s="47"/>
    </row>
    <row r="62" customFormat="false" ht="15" hidden="false" customHeight="true" outlineLevel="0" collapsed="false">
      <c r="B62" s="34" t="n">
        <v>52</v>
      </c>
      <c r="C62" s="35" t="n">
        <v>2025</v>
      </c>
      <c r="D62" s="34" t="s">
        <v>45</v>
      </c>
      <c r="E62" s="36" t="n">
        <f aca="false">'Parcelas Mensais'!E62</f>
        <v>0</v>
      </c>
      <c r="F62" s="38" t="n">
        <f aca="false">H62/69</f>
        <v>3525.74347826087</v>
      </c>
      <c r="G62" s="152" t="n">
        <f aca="false">'Parcelas Mensais'!G62</f>
        <v>0</v>
      </c>
      <c r="H62" s="38" t="n">
        <f aca="false">O61</f>
        <v>243276.3</v>
      </c>
      <c r="I62" s="22" t="n">
        <f aca="false">'Parcelas Mensais'!I62</f>
        <v>7331.97</v>
      </c>
      <c r="J62" s="39" t="n">
        <f aca="false">'Parcelas Mensais'!J62</f>
        <v>0.00259949459589554</v>
      </c>
      <c r="K62" s="24"/>
      <c r="L62" s="38" t="n">
        <f aca="false">O62</f>
        <v>243276.3</v>
      </c>
      <c r="M62" s="24"/>
      <c r="N62" s="38" t="n">
        <f aca="false">O62</f>
        <v>243276.3</v>
      </c>
      <c r="O62" s="38" t="n">
        <f aca="false">H62-IF(G62="",0,G62)</f>
        <v>243276.3</v>
      </c>
      <c r="P62" s="38" t="n">
        <f aca="false">'Parcelas Mensais'!P62</f>
        <v>0</v>
      </c>
      <c r="Q62" s="38" t="n">
        <f aca="false">'Parcelas Mensais'!Q62</f>
        <v>0</v>
      </c>
      <c r="R62" s="24"/>
      <c r="S62" s="24"/>
    </row>
    <row r="63" customFormat="false" ht="15" hidden="false" customHeight="true" outlineLevel="0" collapsed="false">
      <c r="B63" s="40" t="n">
        <v>53</v>
      </c>
      <c r="C63" s="41" t="n">
        <v>2025</v>
      </c>
      <c r="D63" s="40" t="s">
        <v>46</v>
      </c>
      <c r="E63" s="42" t="n">
        <f aca="false">'Parcelas Mensais'!E63</f>
        <v>0</v>
      </c>
      <c r="F63" s="44" t="n">
        <f aca="false">H63/68</f>
        <v>3577.59264705882</v>
      </c>
      <c r="G63" s="152" t="n">
        <f aca="false">'Parcelas Mensais'!G63</f>
        <v>0</v>
      </c>
      <c r="H63" s="44" t="n">
        <f aca="false">O62</f>
        <v>243276.3</v>
      </c>
      <c r="I63" s="45" t="n">
        <f aca="false">'Parcelas Mensais'!I63</f>
        <v>7323.91</v>
      </c>
      <c r="J63" s="46" t="n">
        <f aca="false">'Parcelas Mensais'!J63</f>
        <v>-0.00109929527807675</v>
      </c>
      <c r="K63" s="47"/>
      <c r="L63" s="44" t="n">
        <f aca="false">O63</f>
        <v>243276.3</v>
      </c>
      <c r="M63" s="47"/>
      <c r="N63" s="44" t="n">
        <f aca="false">O63</f>
        <v>243276.3</v>
      </c>
      <c r="O63" s="44" t="n">
        <f aca="false">H63-IF(G63="",0,G63)</f>
        <v>243276.3</v>
      </c>
      <c r="P63" s="44" t="n">
        <f aca="false">'Parcelas Mensais'!P63</f>
        <v>0</v>
      </c>
      <c r="Q63" s="44" t="n">
        <f aca="false">'Parcelas Mensais'!Q63</f>
        <v>0</v>
      </c>
      <c r="R63" s="47"/>
      <c r="S63" s="47"/>
    </row>
    <row r="64" customFormat="false" ht="15" hidden="false" customHeight="true" outlineLevel="0" collapsed="false">
      <c r="B64" s="34" t="n">
        <v>54</v>
      </c>
      <c r="C64" s="35" t="n">
        <v>2025</v>
      </c>
      <c r="D64" s="34" t="s">
        <v>47</v>
      </c>
      <c r="E64" s="36" t="n">
        <f aca="false">'Parcelas Mensais'!E64</f>
        <v>0</v>
      </c>
      <c r="F64" s="38" t="n">
        <f aca="false">H64/67</f>
        <v>3630.98955223881</v>
      </c>
      <c r="G64" s="152" t="n">
        <f aca="false">'Parcelas Mensais'!G64</f>
        <v>0</v>
      </c>
      <c r="H64" s="38" t="n">
        <f aca="false">O63</f>
        <v>243276.3</v>
      </c>
      <c r="I64" s="22" t="n">
        <f aca="false">'Parcelas Mensais'!I64</f>
        <v>7359.06</v>
      </c>
      <c r="J64" s="39" t="n">
        <f aca="false">'Parcelas Mensais'!J64</f>
        <v>0.00479934898162328</v>
      </c>
      <c r="K64" s="24"/>
      <c r="L64" s="38" t="n">
        <f aca="false">O64</f>
        <v>243276.3</v>
      </c>
      <c r="M64" s="24"/>
      <c r="N64" s="38" t="n">
        <f aca="false">O64</f>
        <v>243276.3</v>
      </c>
      <c r="O64" s="38" t="n">
        <f aca="false">H64-IF(G64="",0,G64)</f>
        <v>243276.3</v>
      </c>
      <c r="P64" s="38" t="n">
        <f aca="false">'Parcelas Mensais'!P64</f>
        <v>0</v>
      </c>
      <c r="Q64" s="38" t="n">
        <f aca="false">'Parcelas Mensais'!Q64</f>
        <v>0</v>
      </c>
      <c r="R64" s="24"/>
      <c r="S64" s="24"/>
    </row>
    <row r="65" customFormat="false" ht="15" hidden="false" customHeight="true" outlineLevel="0" collapsed="false">
      <c r="B65" s="40" t="n">
        <v>55</v>
      </c>
      <c r="C65" s="41" t="n">
        <v>2025</v>
      </c>
      <c r="D65" s="40" t="s">
        <v>48</v>
      </c>
      <c r="E65" s="42" t="n">
        <f aca="false">'Parcelas Mensais'!E65</f>
        <v>0</v>
      </c>
      <c r="F65" s="44" t="n">
        <f aca="false">H65/66</f>
        <v>3686.00454545455</v>
      </c>
      <c r="G65" s="152" t="n">
        <f aca="false">'Parcelas Mensais'!G65</f>
        <v>0</v>
      </c>
      <c r="H65" s="44" t="n">
        <f aca="false">O64</f>
        <v>243276.3</v>
      </c>
      <c r="I65" s="45" t="n">
        <f aca="false">'Parcelas Mensais'!I65</f>
        <v>7365.69</v>
      </c>
      <c r="J65" s="46" t="n">
        <f aca="false">'Parcelas Mensais'!J65</f>
        <v>0.000900930281856541</v>
      </c>
      <c r="K65" s="47"/>
      <c r="L65" s="44" t="n">
        <f aca="false">O65</f>
        <v>243276.3</v>
      </c>
      <c r="M65" s="47"/>
      <c r="N65" s="44" t="n">
        <f aca="false">O65</f>
        <v>243276.3</v>
      </c>
      <c r="O65" s="44" t="n">
        <f aca="false">H65-IF(G65="",0,G65)</f>
        <v>243276.3</v>
      </c>
      <c r="P65" s="44" t="n">
        <f aca="false">'Parcelas Mensais'!P65</f>
        <v>0</v>
      </c>
      <c r="Q65" s="44" t="n">
        <f aca="false">'Parcelas Mensais'!Q65</f>
        <v>0</v>
      </c>
      <c r="R65" s="47"/>
      <c r="S65" s="47"/>
    </row>
    <row r="66" customFormat="false" ht="15" hidden="false" customHeight="true" outlineLevel="0" collapsed="false">
      <c r="B66" s="34" t="n">
        <v>56</v>
      </c>
      <c r="C66" s="35" t="n">
        <v>2025</v>
      </c>
      <c r="D66" s="34" t="s">
        <v>49</v>
      </c>
      <c r="E66" s="36" t="n">
        <f aca="false">'Parcelas Mensais'!E66</f>
        <v>0</v>
      </c>
      <c r="F66" s="38" t="n">
        <f aca="false">H66/65</f>
        <v>3742.71230769231</v>
      </c>
      <c r="G66" s="152" t="n">
        <f aca="false">'Parcelas Mensais'!G66</f>
        <v>0</v>
      </c>
      <c r="H66" s="38" t="n">
        <f aca="false">O65</f>
        <v>243276.3</v>
      </c>
      <c r="I66" s="22" t="n">
        <f aca="false">'Parcelas Mensais'!I66</f>
        <v>7378.94</v>
      </c>
      <c r="J66" s="39" t="n">
        <f aca="false">'Parcelas Mensais'!J66</f>
        <v>0.00179888102811821</v>
      </c>
      <c r="K66" s="24"/>
      <c r="L66" s="38" t="n">
        <f aca="false">O66</f>
        <v>243276.3</v>
      </c>
      <c r="M66" s="24"/>
      <c r="N66" s="38" t="n">
        <f aca="false">O66</f>
        <v>243276.3</v>
      </c>
      <c r="O66" s="38" t="n">
        <f aca="false">H66-IF(G66="",0,G66)</f>
        <v>243276.3</v>
      </c>
      <c r="P66" s="38" t="n">
        <f aca="false">'Parcelas Mensais'!P66</f>
        <v>0</v>
      </c>
      <c r="Q66" s="38" t="n">
        <f aca="false">'Parcelas Mensais'!Q66</f>
        <v>0</v>
      </c>
      <c r="R66" s="24"/>
      <c r="S66" s="24"/>
    </row>
    <row r="67" customFormat="false" ht="15" hidden="false" customHeight="true" outlineLevel="0" collapsed="false">
      <c r="B67" s="40" t="n">
        <v>57</v>
      </c>
      <c r="C67" s="41" t="n">
        <v>2025</v>
      </c>
      <c r="D67" s="40" t="s">
        <v>50</v>
      </c>
      <c r="E67" s="42" t="n">
        <f aca="false">'Parcelas Mensais'!E67</f>
        <v>0</v>
      </c>
      <c r="F67" s="44" t="n">
        <f aca="false">H67/64</f>
        <v>3801.1921875</v>
      </c>
      <c r="G67" s="152" t="n">
        <f aca="false">'Parcelas Mensais'!G67</f>
        <v>0</v>
      </c>
      <c r="H67" s="44" t="n">
        <f aca="false">O66</f>
        <v>243276.3</v>
      </c>
      <c r="I67" s="45" t="n">
        <f aca="false">'Parcelas Mensais'!I67</f>
        <v>7403.29</v>
      </c>
      <c r="J67" s="46" t="n">
        <f aca="false">'Parcelas Mensais'!J67</f>
        <v>0.00329993196854838</v>
      </c>
      <c r="K67" s="47"/>
      <c r="L67" s="44" t="n">
        <f aca="false">O67</f>
        <v>243276.3</v>
      </c>
      <c r="M67" s="47"/>
      <c r="N67" s="44" t="n">
        <f aca="false">O67</f>
        <v>243276.3</v>
      </c>
      <c r="O67" s="44" t="n">
        <f aca="false">H67-IF(G67="",0,G67)</f>
        <v>243276.3</v>
      </c>
      <c r="P67" s="44" t="n">
        <f aca="false">'Parcelas Mensais'!P67</f>
        <v>0</v>
      </c>
      <c r="Q67" s="44" t="n">
        <f aca="false">'Parcelas Mensais'!Q67</f>
        <v>0</v>
      </c>
      <c r="R67" s="47"/>
      <c r="S67" s="47"/>
    </row>
    <row r="68" customFormat="false" ht="15" hidden="false" customHeight="true" outlineLevel="0" collapsed="false">
      <c r="B68" s="34" t="n">
        <v>58</v>
      </c>
      <c r="C68" s="35" t="n">
        <v>2026</v>
      </c>
      <c r="D68" s="34" t="s">
        <v>51</v>
      </c>
      <c r="E68" s="36" t="n">
        <f aca="false">'Parcelas Mensais'!E68</f>
        <v>0</v>
      </c>
      <c r="F68" s="38" t="n">
        <f aca="false">H68/63</f>
        <v>3861.52857142857</v>
      </c>
      <c r="G68" s="152" t="n">
        <f aca="false">'Parcelas Mensais'!G68</f>
        <v>0</v>
      </c>
      <c r="H68" s="38" t="n">
        <f aca="false">O67</f>
        <v>243276.3</v>
      </c>
      <c r="I68" s="22" t="n">
        <f aca="false">'Parcelas Mensais'!I68</f>
        <v>7427.73</v>
      </c>
      <c r="J68" s="39" t="n">
        <f aca="false">'Parcelas Mensais'!J68</f>
        <v>0.00330123499146995</v>
      </c>
      <c r="K68" s="24"/>
      <c r="L68" s="38" t="n">
        <f aca="false">O68</f>
        <v>243276.3</v>
      </c>
      <c r="M68" s="24"/>
      <c r="N68" s="38" t="n">
        <f aca="false">O68</f>
        <v>243276.3</v>
      </c>
      <c r="O68" s="38" t="n">
        <f aca="false">H68-IF(G68="",0,G68)</f>
        <v>243276.3</v>
      </c>
      <c r="P68" s="38" t="n">
        <f aca="false">'Parcelas Mensais'!P68</f>
        <v>0</v>
      </c>
      <c r="Q68" s="38" t="n">
        <f aca="false">'Parcelas Mensais'!Q68</f>
        <v>0</v>
      </c>
      <c r="R68" s="24"/>
      <c r="S68" s="24"/>
    </row>
    <row r="69" customFormat="false" ht="15" hidden="false" customHeight="true" outlineLevel="0" collapsed="false">
      <c r="B69" s="40" t="n">
        <v>59</v>
      </c>
      <c r="C69" s="41" t="n">
        <v>2026</v>
      </c>
      <c r="D69" s="40" t="s">
        <v>52</v>
      </c>
      <c r="E69" s="42" t="n">
        <f aca="false">'Parcelas Mensais'!E69</f>
        <v>0</v>
      </c>
      <c r="F69" s="44" t="n">
        <f aca="false">H69/62</f>
        <v>3923.81129032258</v>
      </c>
      <c r="G69" s="152" t="n">
        <f aca="false">'Parcelas Mensais'!G69</f>
        <v>0</v>
      </c>
      <c r="H69" s="44" t="n">
        <f aca="false">O68</f>
        <v>243276.3</v>
      </c>
      <c r="I69" s="45" t="n">
        <f aca="false">'Parcelas Mensais'!I69</f>
        <v>7479.72</v>
      </c>
      <c r="J69" s="46" t="n">
        <f aca="false">'Parcelas Mensais'!J69</f>
        <v>0.00699944666809384</v>
      </c>
      <c r="K69" s="47"/>
      <c r="L69" s="44" t="n">
        <f aca="false">O69</f>
        <v>243276.3</v>
      </c>
      <c r="M69" s="47"/>
      <c r="N69" s="44" t="n">
        <f aca="false">O69</f>
        <v>243276.3</v>
      </c>
      <c r="O69" s="44" t="n">
        <f aca="false">H69-IF(G69="",0,G69)</f>
        <v>243276.3</v>
      </c>
      <c r="P69" s="44" t="n">
        <f aca="false">'Parcelas Mensais'!P69</f>
        <v>0</v>
      </c>
      <c r="Q69" s="44" t="n">
        <f aca="false">'Parcelas Mensais'!Q69</f>
        <v>0</v>
      </c>
      <c r="R69" s="47"/>
      <c r="S69" s="47"/>
    </row>
    <row r="70" customFormat="false" ht="15" hidden="false" customHeight="true" outlineLevel="0" collapsed="false">
      <c r="B70" s="49" t="n">
        <v>60</v>
      </c>
      <c r="C70" s="50" t="n">
        <v>2026</v>
      </c>
      <c r="D70" s="49" t="s">
        <v>41</v>
      </c>
      <c r="E70" s="51" t="n">
        <f aca="false">'Parcelas Mensais'!E70</f>
        <v>0</v>
      </c>
      <c r="F70" s="53" t="n">
        <f aca="false">H70/61</f>
        <v>3988.13606557377</v>
      </c>
      <c r="G70" s="152" t="n">
        <f aca="false">'Parcelas Mensais'!G70</f>
        <v>0</v>
      </c>
      <c r="H70" s="53" t="n">
        <f aca="false">O69</f>
        <v>243276.3</v>
      </c>
      <c r="I70" s="54" t="n">
        <f aca="false">'Parcelas Mensais'!I70</f>
        <v>7545.54</v>
      </c>
      <c r="J70" s="55" t="n">
        <f aca="false">'Parcelas Mensais'!J70</f>
        <v>0.00879979464471928</v>
      </c>
      <c r="K70" s="154" t="n">
        <v>0.041428</v>
      </c>
      <c r="L70" s="155" t="n">
        <v>253354.86</v>
      </c>
      <c r="M70" s="155" t="n">
        <v>27085.15</v>
      </c>
      <c r="N70" s="156" t="n">
        <f aca="false">L70+M70</f>
        <v>280440.01</v>
      </c>
      <c r="O70" s="53" t="n">
        <f aca="false">H70-IF(G70="",0,G70)</f>
        <v>243276.3</v>
      </c>
      <c r="P70" s="53" t="n">
        <f aca="false">'Parcelas Mensais'!P70</f>
        <v>0</v>
      </c>
      <c r="Q70" s="53" t="n">
        <f aca="false">'Parcelas Mensais'!Q70</f>
        <v>0</v>
      </c>
      <c r="R70" s="157"/>
      <c r="S70" s="157"/>
    </row>
    <row r="71" customFormat="false" ht="15" hidden="false" customHeight="true" outlineLevel="0" collapsed="false">
      <c r="B71" s="40" t="n">
        <v>61</v>
      </c>
      <c r="C71" s="41" t="n">
        <v>2026</v>
      </c>
      <c r="D71" s="40" t="s">
        <v>42</v>
      </c>
      <c r="E71" s="42" t="n">
        <f aca="false">'Parcelas Mensais'!E71</f>
        <v>0</v>
      </c>
      <c r="F71" s="44" t="n">
        <f aca="false">H71/60</f>
        <v>4674.00016666667</v>
      </c>
      <c r="G71" s="152" t="n">
        <f aca="false">'Parcelas Mensais'!G71</f>
        <v>0</v>
      </c>
      <c r="H71" s="44" t="n">
        <f aca="false">N70</f>
        <v>280440.01</v>
      </c>
      <c r="I71" s="45" t="n">
        <f aca="false">'Parcelas Mensais'!I71</f>
        <v>0</v>
      </c>
      <c r="J71" s="46" t="n">
        <f aca="false">'Parcelas Mensais'!J71</f>
        <v>0</v>
      </c>
      <c r="K71" s="47"/>
      <c r="L71" s="44" t="n">
        <f aca="false">O71</f>
        <v>280440.01</v>
      </c>
      <c r="M71" s="47"/>
      <c r="N71" s="44" t="n">
        <f aca="false">O71</f>
        <v>280440.01</v>
      </c>
      <c r="O71" s="44" t="n">
        <f aca="false">H71-IF(G71="",0,G71)</f>
        <v>280440.01</v>
      </c>
      <c r="P71" s="44" t="n">
        <f aca="false">'Parcelas Mensais'!P71</f>
        <v>0</v>
      </c>
      <c r="Q71" s="44" t="n">
        <f aca="false">'Parcelas Mensais'!Q71</f>
        <v>0</v>
      </c>
      <c r="R71" s="153" t="n">
        <f aca="false">Reajustes!I25</f>
        <v>71739.1672942061</v>
      </c>
      <c r="S71" s="47"/>
    </row>
    <row r="72" customFormat="false" ht="15" hidden="false" customHeight="true" outlineLevel="0" collapsed="false">
      <c r="B72" s="34" t="n">
        <v>62</v>
      </c>
      <c r="C72" s="35" t="n">
        <v>2026</v>
      </c>
      <c r="D72" s="34" t="s">
        <v>43</v>
      </c>
      <c r="E72" s="36" t="n">
        <f aca="false">'Parcelas Mensais'!E72</f>
        <v>0</v>
      </c>
      <c r="F72" s="38" t="n">
        <f aca="false">H72/59</f>
        <v>4753.22050847458</v>
      </c>
      <c r="G72" s="152" t="n">
        <f aca="false">'Parcelas Mensais'!G72</f>
        <v>0</v>
      </c>
      <c r="H72" s="38" t="n">
        <f aca="false">O71</f>
        <v>280440.01</v>
      </c>
      <c r="I72" s="22" t="n">
        <f aca="false">'Parcelas Mensais'!I72</f>
        <v>0</v>
      </c>
      <c r="J72" s="39" t="n">
        <f aca="false">'Parcelas Mensais'!J72</f>
        <v>0</v>
      </c>
      <c r="K72" s="24"/>
      <c r="L72" s="38" t="n">
        <f aca="false">O72</f>
        <v>280440.01</v>
      </c>
      <c r="M72" s="24"/>
      <c r="N72" s="38" t="n">
        <f aca="false">O72</f>
        <v>280440.01</v>
      </c>
      <c r="O72" s="38" t="n">
        <f aca="false">H72-IF(G72="",0,G72)</f>
        <v>280440.01</v>
      </c>
      <c r="P72" s="38" t="n">
        <f aca="false">'Parcelas Mensais'!P72</f>
        <v>0</v>
      </c>
      <c r="Q72" s="38" t="n">
        <f aca="false">'Parcelas Mensais'!Q72</f>
        <v>0</v>
      </c>
      <c r="R72" s="24"/>
      <c r="S72" s="24"/>
    </row>
    <row r="73" customFormat="false" ht="15" hidden="false" customHeight="true" outlineLevel="0" collapsed="false">
      <c r="B73" s="40" t="n">
        <v>63</v>
      </c>
      <c r="C73" s="41" t="n">
        <v>2026</v>
      </c>
      <c r="D73" s="40" t="s">
        <v>44</v>
      </c>
      <c r="E73" s="42" t="n">
        <f aca="false">'Parcelas Mensais'!E73</f>
        <v>0</v>
      </c>
      <c r="F73" s="44" t="n">
        <f aca="false">H73/58</f>
        <v>4835.1725862069</v>
      </c>
      <c r="G73" s="152" t="n">
        <f aca="false">'Parcelas Mensais'!G73</f>
        <v>0</v>
      </c>
      <c r="H73" s="44" t="n">
        <f aca="false">O72</f>
        <v>280440.01</v>
      </c>
      <c r="I73" s="45" t="n">
        <f aca="false">'Parcelas Mensais'!I73</f>
        <v>0</v>
      </c>
      <c r="J73" s="46" t="n">
        <f aca="false">'Parcelas Mensais'!J73</f>
        <v>0</v>
      </c>
      <c r="K73" s="47"/>
      <c r="L73" s="44" t="n">
        <f aca="false">O73</f>
        <v>280440.01</v>
      </c>
      <c r="M73" s="47"/>
      <c r="N73" s="44" t="n">
        <f aca="false">O73</f>
        <v>280440.01</v>
      </c>
      <c r="O73" s="44" t="n">
        <f aca="false">H73-IF(G73="",0,G73)</f>
        <v>280440.01</v>
      </c>
      <c r="P73" s="44" t="n">
        <f aca="false">'Parcelas Mensais'!P73</f>
        <v>0</v>
      </c>
      <c r="Q73" s="44" t="n">
        <f aca="false">'Parcelas Mensais'!Q73</f>
        <v>0</v>
      </c>
      <c r="R73" s="47"/>
      <c r="S73" s="47"/>
    </row>
    <row r="74" customFormat="false" ht="15" hidden="false" customHeight="true" outlineLevel="0" collapsed="false">
      <c r="B74" s="34" t="n">
        <v>64</v>
      </c>
      <c r="C74" s="35" t="n">
        <v>2026</v>
      </c>
      <c r="D74" s="34" t="s">
        <v>45</v>
      </c>
      <c r="E74" s="36" t="n">
        <f aca="false">'Parcelas Mensais'!E74</f>
        <v>0</v>
      </c>
      <c r="F74" s="38" t="n">
        <f aca="false">H74/57</f>
        <v>4920.0001754386</v>
      </c>
      <c r="G74" s="152" t="n">
        <f aca="false">'Parcelas Mensais'!G74</f>
        <v>0</v>
      </c>
      <c r="H74" s="38" t="n">
        <f aca="false">O73</f>
        <v>280440.01</v>
      </c>
      <c r="I74" s="22" t="n">
        <f aca="false">'Parcelas Mensais'!I74</f>
        <v>0</v>
      </c>
      <c r="J74" s="39" t="n">
        <f aca="false">'Parcelas Mensais'!J74</f>
        <v>0</v>
      </c>
      <c r="K74" s="24"/>
      <c r="L74" s="38" t="n">
        <f aca="false">O74</f>
        <v>280440.01</v>
      </c>
      <c r="M74" s="24"/>
      <c r="N74" s="38" t="n">
        <f aca="false">O74</f>
        <v>280440.01</v>
      </c>
      <c r="O74" s="38" t="n">
        <f aca="false">H74-IF(G74="",0,G74)</f>
        <v>280440.01</v>
      </c>
      <c r="P74" s="38" t="n">
        <f aca="false">'Parcelas Mensais'!P74</f>
        <v>0</v>
      </c>
      <c r="Q74" s="38" t="n">
        <f aca="false">'Parcelas Mensais'!Q74</f>
        <v>0</v>
      </c>
      <c r="R74" s="24"/>
      <c r="S74" s="24"/>
    </row>
    <row r="75" customFormat="false" ht="15" hidden="false" customHeight="true" outlineLevel="0" collapsed="false">
      <c r="B75" s="40" t="n">
        <v>65</v>
      </c>
      <c r="C75" s="41" t="n">
        <v>2026</v>
      </c>
      <c r="D75" s="40" t="s">
        <v>46</v>
      </c>
      <c r="E75" s="42" t="n">
        <f aca="false">'Parcelas Mensais'!E75</f>
        <v>0</v>
      </c>
      <c r="F75" s="44" t="n">
        <f aca="false">H75/56</f>
        <v>5007.85732142857</v>
      </c>
      <c r="G75" s="152" t="n">
        <f aca="false">'Parcelas Mensais'!G75</f>
        <v>0</v>
      </c>
      <c r="H75" s="44" t="n">
        <f aca="false">O74</f>
        <v>280440.01</v>
      </c>
      <c r="I75" s="45" t="n">
        <f aca="false">'Parcelas Mensais'!I75</f>
        <v>0</v>
      </c>
      <c r="J75" s="46" t="n">
        <f aca="false">'Parcelas Mensais'!J75</f>
        <v>0</v>
      </c>
      <c r="K75" s="47"/>
      <c r="L75" s="44" t="n">
        <f aca="false">O75</f>
        <v>280440.01</v>
      </c>
      <c r="M75" s="47"/>
      <c r="N75" s="44" t="n">
        <f aca="false">O75</f>
        <v>280440.01</v>
      </c>
      <c r="O75" s="44" t="n">
        <f aca="false">H75-IF(G75="",0,G75)</f>
        <v>280440.01</v>
      </c>
      <c r="P75" s="44" t="n">
        <f aca="false">'Parcelas Mensais'!P75</f>
        <v>0</v>
      </c>
      <c r="Q75" s="44" t="n">
        <f aca="false">'Parcelas Mensais'!Q75</f>
        <v>0</v>
      </c>
      <c r="R75" s="47"/>
      <c r="S75" s="47"/>
    </row>
    <row r="76" customFormat="false" ht="15" hidden="false" customHeight="true" outlineLevel="0" collapsed="false">
      <c r="B76" s="34" t="n">
        <v>66</v>
      </c>
      <c r="C76" s="35" t="n">
        <v>2026</v>
      </c>
      <c r="D76" s="34" t="s">
        <v>47</v>
      </c>
      <c r="E76" s="36" t="n">
        <f aca="false">'Parcelas Mensais'!E76</f>
        <v>0</v>
      </c>
      <c r="F76" s="38" t="n">
        <f aca="false">H76/55</f>
        <v>5098.90927272727</v>
      </c>
      <c r="G76" s="152" t="n">
        <f aca="false">'Parcelas Mensais'!G76</f>
        <v>0</v>
      </c>
      <c r="H76" s="38" t="n">
        <f aca="false">O75</f>
        <v>280440.01</v>
      </c>
      <c r="I76" s="22" t="n">
        <f aca="false">'Parcelas Mensais'!I76</f>
        <v>0</v>
      </c>
      <c r="J76" s="39" t="n">
        <f aca="false">'Parcelas Mensais'!J76</f>
        <v>0</v>
      </c>
      <c r="K76" s="24"/>
      <c r="L76" s="38" t="n">
        <f aca="false">O76</f>
        <v>280440.01</v>
      </c>
      <c r="M76" s="24"/>
      <c r="N76" s="38" t="n">
        <f aca="false">O76</f>
        <v>280440.01</v>
      </c>
      <c r="O76" s="38" t="n">
        <f aca="false">H76-IF(G76="",0,G76)</f>
        <v>280440.01</v>
      </c>
      <c r="P76" s="38" t="n">
        <f aca="false">'Parcelas Mensais'!P76</f>
        <v>0</v>
      </c>
      <c r="Q76" s="38" t="n">
        <f aca="false">'Parcelas Mensais'!Q76</f>
        <v>0</v>
      </c>
      <c r="R76" s="24"/>
      <c r="S76" s="24"/>
    </row>
    <row r="77" customFormat="false" ht="15" hidden="false" customHeight="true" outlineLevel="0" collapsed="false">
      <c r="B77" s="40" t="n">
        <v>67</v>
      </c>
      <c r="C77" s="41" t="n">
        <v>2026</v>
      </c>
      <c r="D77" s="40" t="s">
        <v>48</v>
      </c>
      <c r="E77" s="42" t="n">
        <f aca="false">'Parcelas Mensais'!E77</f>
        <v>0</v>
      </c>
      <c r="F77" s="44" t="n">
        <f aca="false">H77/54</f>
        <v>5193.33351851852</v>
      </c>
      <c r="G77" s="152" t="n">
        <f aca="false">'Parcelas Mensais'!G77</f>
        <v>0</v>
      </c>
      <c r="H77" s="44" t="n">
        <f aca="false">O76</f>
        <v>280440.01</v>
      </c>
      <c r="I77" s="45" t="n">
        <f aca="false">'Parcelas Mensais'!I77</f>
        <v>0</v>
      </c>
      <c r="J77" s="46" t="n">
        <f aca="false">'Parcelas Mensais'!J77</f>
        <v>0</v>
      </c>
      <c r="K77" s="47"/>
      <c r="L77" s="44" t="n">
        <f aca="false">O77</f>
        <v>280440.01</v>
      </c>
      <c r="M77" s="47"/>
      <c r="N77" s="44" t="n">
        <f aca="false">O77</f>
        <v>280440.01</v>
      </c>
      <c r="O77" s="44" t="n">
        <f aca="false">H77-IF(G77="",0,G77)</f>
        <v>280440.01</v>
      </c>
      <c r="P77" s="44" t="n">
        <f aca="false">'Parcelas Mensais'!P77</f>
        <v>0</v>
      </c>
      <c r="Q77" s="44" t="n">
        <f aca="false">'Parcelas Mensais'!Q77</f>
        <v>0</v>
      </c>
      <c r="R77" s="47"/>
      <c r="S77" s="47"/>
    </row>
    <row r="78" customFormat="false" ht="15" hidden="false" customHeight="true" outlineLevel="0" collapsed="false">
      <c r="B78" s="34" t="n">
        <v>68</v>
      </c>
      <c r="C78" s="35" t="n">
        <v>2026</v>
      </c>
      <c r="D78" s="34" t="s">
        <v>49</v>
      </c>
      <c r="E78" s="36" t="n">
        <f aca="false">'Parcelas Mensais'!E78</f>
        <v>0</v>
      </c>
      <c r="F78" s="38" t="n">
        <f aca="false">H78/53</f>
        <v>5291.32094339623</v>
      </c>
      <c r="G78" s="152" t="n">
        <f aca="false">'Parcelas Mensais'!G78</f>
        <v>0</v>
      </c>
      <c r="H78" s="38" t="n">
        <f aca="false">O77</f>
        <v>280440.01</v>
      </c>
      <c r="I78" s="22" t="n">
        <f aca="false">'Parcelas Mensais'!I78</f>
        <v>0</v>
      </c>
      <c r="J78" s="39" t="n">
        <f aca="false">'Parcelas Mensais'!J78</f>
        <v>0</v>
      </c>
      <c r="K78" s="24"/>
      <c r="L78" s="38" t="n">
        <f aca="false">O78</f>
        <v>280440.01</v>
      </c>
      <c r="M78" s="24"/>
      <c r="N78" s="38" t="n">
        <f aca="false">O78</f>
        <v>280440.01</v>
      </c>
      <c r="O78" s="38" t="n">
        <f aca="false">H78-IF(G78="",0,G78)</f>
        <v>280440.01</v>
      </c>
      <c r="P78" s="38" t="n">
        <f aca="false">'Parcelas Mensais'!P78</f>
        <v>0</v>
      </c>
      <c r="Q78" s="38" t="n">
        <f aca="false">'Parcelas Mensais'!Q78</f>
        <v>0</v>
      </c>
      <c r="R78" s="24"/>
      <c r="S78" s="24"/>
    </row>
    <row r="79" customFormat="false" ht="15" hidden="false" customHeight="true" outlineLevel="0" collapsed="false">
      <c r="B79" s="40" t="n">
        <v>69</v>
      </c>
      <c r="C79" s="41" t="n">
        <v>2026</v>
      </c>
      <c r="D79" s="40" t="s">
        <v>50</v>
      </c>
      <c r="E79" s="42" t="n">
        <f aca="false">'Parcelas Mensais'!E79</f>
        <v>0</v>
      </c>
      <c r="F79" s="44" t="n">
        <f aca="false">H79/52</f>
        <v>5393.07711538462</v>
      </c>
      <c r="G79" s="152" t="n">
        <f aca="false">'Parcelas Mensais'!G79</f>
        <v>0</v>
      </c>
      <c r="H79" s="44" t="n">
        <f aca="false">O78</f>
        <v>280440.01</v>
      </c>
      <c r="I79" s="45" t="n">
        <f aca="false">'Parcelas Mensais'!I79</f>
        <v>0</v>
      </c>
      <c r="J79" s="46" t="n">
        <f aca="false">'Parcelas Mensais'!J79</f>
        <v>0</v>
      </c>
      <c r="K79" s="47"/>
      <c r="L79" s="44" t="n">
        <f aca="false">O79</f>
        <v>280440.01</v>
      </c>
      <c r="M79" s="47"/>
      <c r="N79" s="44" t="n">
        <f aca="false">O79</f>
        <v>280440.01</v>
      </c>
      <c r="O79" s="44" t="n">
        <f aca="false">H79-IF(G79="",0,G79)</f>
        <v>280440.01</v>
      </c>
      <c r="P79" s="44" t="n">
        <f aca="false">'Parcelas Mensais'!P79</f>
        <v>0</v>
      </c>
      <c r="Q79" s="44" t="n">
        <f aca="false">'Parcelas Mensais'!Q79</f>
        <v>0</v>
      </c>
      <c r="R79" s="47"/>
      <c r="S79" s="47"/>
    </row>
    <row r="80" customFormat="false" ht="15" hidden="false" customHeight="true" outlineLevel="0" collapsed="false">
      <c r="B80" s="34" t="n">
        <v>70</v>
      </c>
      <c r="C80" s="35" t="n">
        <v>2027</v>
      </c>
      <c r="D80" s="34" t="s">
        <v>51</v>
      </c>
      <c r="E80" s="36" t="n">
        <f aca="false">'Parcelas Mensais'!E80</f>
        <v>0</v>
      </c>
      <c r="F80" s="38" t="n">
        <f aca="false">H80/51</f>
        <v>5498.8237254902</v>
      </c>
      <c r="G80" s="152" t="n">
        <f aca="false">'Parcelas Mensais'!G80</f>
        <v>0</v>
      </c>
      <c r="H80" s="38" t="n">
        <f aca="false">O79</f>
        <v>280440.01</v>
      </c>
      <c r="I80" s="22" t="n">
        <f aca="false">'Parcelas Mensais'!I80</f>
        <v>0</v>
      </c>
      <c r="J80" s="39" t="n">
        <f aca="false">'Parcelas Mensais'!J80</f>
        <v>0</v>
      </c>
      <c r="K80" s="24"/>
      <c r="L80" s="38" t="n">
        <f aca="false">O80</f>
        <v>280440.01</v>
      </c>
      <c r="M80" s="24"/>
      <c r="N80" s="38" t="n">
        <f aca="false">O80</f>
        <v>280440.01</v>
      </c>
      <c r="O80" s="38" t="n">
        <f aca="false">H80-IF(G80="",0,G80)</f>
        <v>280440.01</v>
      </c>
      <c r="P80" s="38" t="n">
        <f aca="false">'Parcelas Mensais'!P80</f>
        <v>0</v>
      </c>
      <c r="Q80" s="38" t="n">
        <f aca="false">'Parcelas Mensais'!Q80</f>
        <v>0</v>
      </c>
      <c r="R80" s="24"/>
      <c r="S80" s="24"/>
    </row>
    <row r="81" customFormat="false" ht="15" hidden="false" customHeight="true" outlineLevel="0" collapsed="false">
      <c r="B81" s="40" t="n">
        <v>71</v>
      </c>
      <c r="C81" s="41" t="n">
        <v>2027</v>
      </c>
      <c r="D81" s="40" t="s">
        <v>52</v>
      </c>
      <c r="E81" s="42" t="n">
        <f aca="false">'Parcelas Mensais'!E81</f>
        <v>0</v>
      </c>
      <c r="F81" s="44" t="n">
        <f aca="false">H81/50</f>
        <v>5608.8002</v>
      </c>
      <c r="G81" s="152" t="n">
        <f aca="false">'Parcelas Mensais'!G81</f>
        <v>0</v>
      </c>
      <c r="H81" s="44" t="n">
        <f aca="false">O80</f>
        <v>280440.01</v>
      </c>
      <c r="I81" s="45" t="n">
        <f aca="false">'Parcelas Mensais'!I81</f>
        <v>0</v>
      </c>
      <c r="J81" s="46" t="n">
        <f aca="false">'Parcelas Mensais'!J81</f>
        <v>0</v>
      </c>
      <c r="K81" s="47"/>
      <c r="L81" s="44" t="n">
        <f aca="false">O81</f>
        <v>280440.01</v>
      </c>
      <c r="M81" s="47"/>
      <c r="N81" s="44" t="n">
        <f aca="false">O81</f>
        <v>280440.01</v>
      </c>
      <c r="O81" s="44" t="n">
        <f aca="false">H81-IF(G81="",0,G81)</f>
        <v>280440.01</v>
      </c>
      <c r="P81" s="44" t="n">
        <f aca="false">'Parcelas Mensais'!P81</f>
        <v>0</v>
      </c>
      <c r="Q81" s="44" t="n">
        <f aca="false">'Parcelas Mensais'!Q81</f>
        <v>0</v>
      </c>
      <c r="R81" s="47"/>
      <c r="S81" s="47"/>
    </row>
    <row r="82" customFormat="false" ht="15" hidden="false" customHeight="true" outlineLevel="0" collapsed="false">
      <c r="B82" s="49" t="n">
        <v>72</v>
      </c>
      <c r="C82" s="50" t="n">
        <v>2027</v>
      </c>
      <c r="D82" s="49" t="s">
        <v>41</v>
      </c>
      <c r="E82" s="51" t="n">
        <f aca="false">'Parcelas Mensais'!E82</f>
        <v>0</v>
      </c>
      <c r="F82" s="53" t="n">
        <f aca="false">H82/49</f>
        <v>5723.26551020408</v>
      </c>
      <c r="G82" s="152" t="n">
        <f aca="false">'Parcelas Mensais'!G82</f>
        <v>0</v>
      </c>
      <c r="H82" s="53" t="n">
        <f aca="false">O81</f>
        <v>280440.01</v>
      </c>
      <c r="I82" s="54" t="n">
        <f aca="false">'Parcelas Mensais'!I82</f>
        <v>0</v>
      </c>
      <c r="J82" s="55" t="n">
        <f aca="false">'Parcelas Mensais'!J82</f>
        <v>0</v>
      </c>
      <c r="K82" s="154" t="n">
        <v>0</v>
      </c>
      <c r="L82" s="53" t="n">
        <f aca="false">ROUND(O82*(1+K82),2)</f>
        <v>280440.01</v>
      </c>
      <c r="M82" s="53" t="n">
        <f aca="false">ROUND(L82*10.6906/100,2)</f>
        <v>29980.72</v>
      </c>
      <c r="N82" s="56" t="n">
        <f aca="false">L82+M82</f>
        <v>310420.73</v>
      </c>
      <c r="O82" s="53" t="n">
        <f aca="false">H82-IF(G82="",0,G82)</f>
        <v>280440.01</v>
      </c>
      <c r="P82" s="53" t="n">
        <f aca="false">'Parcelas Mensais'!P82</f>
        <v>0</v>
      </c>
      <c r="Q82" s="53" t="n">
        <f aca="false">'Parcelas Mensais'!Q82</f>
        <v>0</v>
      </c>
      <c r="R82" s="157"/>
      <c r="S82" s="157"/>
    </row>
    <row r="83" customFormat="false" ht="15" hidden="false" customHeight="true" outlineLevel="0" collapsed="false">
      <c r="B83" s="40" t="n">
        <v>73</v>
      </c>
      <c r="C83" s="41" t="n">
        <v>2027</v>
      </c>
      <c r="D83" s="40" t="s">
        <v>42</v>
      </c>
      <c r="E83" s="42" t="n">
        <f aca="false">'Parcelas Mensais'!E83</f>
        <v>0</v>
      </c>
      <c r="F83" s="44" t="n">
        <f aca="false">H83/48</f>
        <v>6467.09854166667</v>
      </c>
      <c r="G83" s="152" t="n">
        <f aca="false">'Parcelas Mensais'!G83</f>
        <v>0</v>
      </c>
      <c r="H83" s="44" t="n">
        <f aca="false">N82</f>
        <v>310420.73</v>
      </c>
      <c r="I83" s="45" t="n">
        <f aca="false">'Parcelas Mensais'!I83</f>
        <v>0</v>
      </c>
      <c r="J83" s="46" t="n">
        <f aca="false">'Parcelas Mensais'!J83</f>
        <v>0</v>
      </c>
      <c r="K83" s="47"/>
      <c r="L83" s="44" t="n">
        <f aca="false">O83</f>
        <v>310420.73</v>
      </c>
      <c r="M83" s="47"/>
      <c r="N83" s="44" t="n">
        <f aca="false">O83</f>
        <v>310420.73</v>
      </c>
      <c r="O83" s="44" t="n">
        <f aca="false">H83-IF(G83="",0,G83)</f>
        <v>310420.73</v>
      </c>
      <c r="P83" s="44" t="n">
        <f aca="false">'Parcelas Mensais'!P83</f>
        <v>0</v>
      </c>
      <c r="Q83" s="44" t="n">
        <f aca="false">'Parcelas Mensais'!Q83</f>
        <v>0</v>
      </c>
      <c r="R83" s="153" t="n">
        <f aca="false">Reajustes!I26</f>
        <v>79408.5309922588</v>
      </c>
      <c r="S83" s="47"/>
    </row>
    <row r="84" customFormat="false" ht="15" hidden="false" customHeight="true" outlineLevel="0" collapsed="false">
      <c r="B84" s="34" t="n">
        <v>74</v>
      </c>
      <c r="C84" s="35" t="n">
        <v>2027</v>
      </c>
      <c r="D84" s="34" t="s">
        <v>43</v>
      </c>
      <c r="E84" s="36" t="n">
        <f aca="false">'Parcelas Mensais'!E84</f>
        <v>0</v>
      </c>
      <c r="F84" s="38" t="n">
        <f aca="false">H84/47</f>
        <v>6604.69638297872</v>
      </c>
      <c r="G84" s="152" t="n">
        <f aca="false">'Parcelas Mensais'!G84</f>
        <v>0</v>
      </c>
      <c r="H84" s="38" t="n">
        <f aca="false">O83</f>
        <v>310420.73</v>
      </c>
      <c r="I84" s="22" t="n">
        <f aca="false">'Parcelas Mensais'!I84</f>
        <v>0</v>
      </c>
      <c r="J84" s="39" t="n">
        <f aca="false">'Parcelas Mensais'!J84</f>
        <v>0</v>
      </c>
      <c r="K84" s="24"/>
      <c r="L84" s="38" t="n">
        <f aca="false">O84</f>
        <v>310420.73</v>
      </c>
      <c r="M84" s="24"/>
      <c r="N84" s="38" t="n">
        <f aca="false">O84</f>
        <v>310420.73</v>
      </c>
      <c r="O84" s="38" t="n">
        <f aca="false">H84-IF(G84="",0,G84)</f>
        <v>310420.73</v>
      </c>
      <c r="P84" s="38" t="n">
        <f aca="false">'Parcelas Mensais'!P84</f>
        <v>0</v>
      </c>
      <c r="Q84" s="38" t="n">
        <f aca="false">'Parcelas Mensais'!Q84</f>
        <v>0</v>
      </c>
      <c r="R84" s="24"/>
      <c r="S84" s="24"/>
    </row>
    <row r="85" customFormat="false" ht="15" hidden="false" customHeight="true" outlineLevel="0" collapsed="false">
      <c r="B85" s="40" t="n">
        <v>75</v>
      </c>
      <c r="C85" s="41" t="n">
        <v>2027</v>
      </c>
      <c r="D85" s="40" t="s">
        <v>44</v>
      </c>
      <c r="E85" s="42" t="n">
        <f aca="false">'Parcelas Mensais'!E85</f>
        <v>0</v>
      </c>
      <c r="F85" s="44" t="n">
        <f aca="false">H85/46</f>
        <v>6748.27673913043</v>
      </c>
      <c r="G85" s="152" t="n">
        <f aca="false">'Parcelas Mensais'!G85</f>
        <v>0</v>
      </c>
      <c r="H85" s="44" t="n">
        <f aca="false">O84</f>
        <v>310420.73</v>
      </c>
      <c r="I85" s="45" t="n">
        <f aca="false">'Parcelas Mensais'!I85</f>
        <v>0</v>
      </c>
      <c r="J85" s="46" t="n">
        <f aca="false">'Parcelas Mensais'!J85</f>
        <v>0</v>
      </c>
      <c r="K85" s="47"/>
      <c r="L85" s="44" t="n">
        <f aca="false">O85</f>
        <v>310420.73</v>
      </c>
      <c r="M85" s="47"/>
      <c r="N85" s="44" t="n">
        <f aca="false">O85</f>
        <v>310420.73</v>
      </c>
      <c r="O85" s="44" t="n">
        <f aca="false">H85-IF(G85="",0,G85)</f>
        <v>310420.73</v>
      </c>
      <c r="P85" s="44" t="n">
        <f aca="false">'Parcelas Mensais'!P85</f>
        <v>0</v>
      </c>
      <c r="Q85" s="44" t="n">
        <f aca="false">'Parcelas Mensais'!Q85</f>
        <v>0</v>
      </c>
      <c r="R85" s="47"/>
      <c r="S85" s="47"/>
    </row>
    <row r="86" customFormat="false" ht="15" hidden="false" customHeight="true" outlineLevel="0" collapsed="false">
      <c r="B86" s="34" t="n">
        <v>76</v>
      </c>
      <c r="C86" s="35" t="n">
        <v>2027</v>
      </c>
      <c r="D86" s="34" t="s">
        <v>45</v>
      </c>
      <c r="E86" s="36" t="n">
        <f aca="false">'Parcelas Mensais'!E86</f>
        <v>0</v>
      </c>
      <c r="F86" s="38" t="n">
        <f aca="false">H86/45</f>
        <v>6898.23844444444</v>
      </c>
      <c r="G86" s="152" t="n">
        <f aca="false">'Parcelas Mensais'!G86</f>
        <v>0</v>
      </c>
      <c r="H86" s="38" t="n">
        <f aca="false">O85</f>
        <v>310420.73</v>
      </c>
      <c r="I86" s="22" t="n">
        <f aca="false">'Parcelas Mensais'!I86</f>
        <v>0</v>
      </c>
      <c r="J86" s="39" t="n">
        <f aca="false">'Parcelas Mensais'!J86</f>
        <v>0</v>
      </c>
      <c r="K86" s="24"/>
      <c r="L86" s="38" t="n">
        <f aca="false">O86</f>
        <v>310420.73</v>
      </c>
      <c r="M86" s="24"/>
      <c r="N86" s="38" t="n">
        <f aca="false">O86</f>
        <v>310420.73</v>
      </c>
      <c r="O86" s="38" t="n">
        <f aca="false">H86-IF(G86="",0,G86)</f>
        <v>310420.73</v>
      </c>
      <c r="P86" s="38" t="n">
        <f aca="false">'Parcelas Mensais'!P86</f>
        <v>0</v>
      </c>
      <c r="Q86" s="38" t="n">
        <f aca="false">'Parcelas Mensais'!Q86</f>
        <v>0</v>
      </c>
      <c r="R86" s="24"/>
      <c r="S86" s="24"/>
    </row>
    <row r="87" customFormat="false" ht="15" hidden="false" customHeight="true" outlineLevel="0" collapsed="false">
      <c r="B87" s="40" t="n">
        <v>77</v>
      </c>
      <c r="C87" s="41" t="n">
        <v>2027</v>
      </c>
      <c r="D87" s="40" t="s">
        <v>46</v>
      </c>
      <c r="E87" s="42" t="n">
        <f aca="false">'Parcelas Mensais'!E87</f>
        <v>0</v>
      </c>
      <c r="F87" s="44" t="n">
        <f aca="false">H87/44</f>
        <v>7055.01659090909</v>
      </c>
      <c r="G87" s="152" t="n">
        <f aca="false">'Parcelas Mensais'!G87</f>
        <v>0</v>
      </c>
      <c r="H87" s="44" t="n">
        <f aca="false">O86</f>
        <v>310420.73</v>
      </c>
      <c r="I87" s="45" t="n">
        <f aca="false">'Parcelas Mensais'!I87</f>
        <v>0</v>
      </c>
      <c r="J87" s="46" t="n">
        <f aca="false">'Parcelas Mensais'!J87</f>
        <v>0</v>
      </c>
      <c r="K87" s="47"/>
      <c r="L87" s="44" t="n">
        <f aca="false">O87</f>
        <v>310420.73</v>
      </c>
      <c r="M87" s="47"/>
      <c r="N87" s="44" t="n">
        <f aca="false">O87</f>
        <v>310420.73</v>
      </c>
      <c r="O87" s="44" t="n">
        <f aca="false">H87-IF(G87="",0,G87)</f>
        <v>310420.73</v>
      </c>
      <c r="P87" s="44" t="n">
        <f aca="false">'Parcelas Mensais'!P87</f>
        <v>0</v>
      </c>
      <c r="Q87" s="44" t="n">
        <f aca="false">'Parcelas Mensais'!Q87</f>
        <v>0</v>
      </c>
      <c r="R87" s="47"/>
      <c r="S87" s="47"/>
    </row>
    <row r="88" customFormat="false" ht="15" hidden="false" customHeight="true" outlineLevel="0" collapsed="false">
      <c r="B88" s="34" t="n">
        <v>78</v>
      </c>
      <c r="C88" s="35" t="n">
        <v>2027</v>
      </c>
      <c r="D88" s="34" t="s">
        <v>47</v>
      </c>
      <c r="E88" s="36" t="n">
        <f aca="false">'Parcelas Mensais'!E88</f>
        <v>0</v>
      </c>
      <c r="F88" s="38" t="n">
        <f aca="false">H88/43</f>
        <v>7219.08674418605</v>
      </c>
      <c r="G88" s="152" t="n">
        <f aca="false">'Parcelas Mensais'!G88</f>
        <v>0</v>
      </c>
      <c r="H88" s="38" t="n">
        <f aca="false">O87</f>
        <v>310420.73</v>
      </c>
      <c r="I88" s="22" t="n">
        <f aca="false">'Parcelas Mensais'!I88</f>
        <v>0</v>
      </c>
      <c r="J88" s="39" t="n">
        <f aca="false">'Parcelas Mensais'!J88</f>
        <v>0</v>
      </c>
      <c r="K88" s="24"/>
      <c r="L88" s="38" t="n">
        <f aca="false">O88</f>
        <v>310420.73</v>
      </c>
      <c r="M88" s="24"/>
      <c r="N88" s="38" t="n">
        <f aca="false">O88</f>
        <v>310420.73</v>
      </c>
      <c r="O88" s="38" t="n">
        <f aca="false">H88-IF(G88="",0,G88)</f>
        <v>310420.73</v>
      </c>
      <c r="P88" s="38" t="n">
        <f aca="false">'Parcelas Mensais'!P88</f>
        <v>0</v>
      </c>
      <c r="Q88" s="38" t="n">
        <f aca="false">'Parcelas Mensais'!Q88</f>
        <v>0</v>
      </c>
      <c r="R88" s="24"/>
      <c r="S88" s="24"/>
    </row>
    <row r="89" customFormat="false" ht="15" hidden="false" customHeight="true" outlineLevel="0" collapsed="false">
      <c r="B89" s="40" t="n">
        <v>79</v>
      </c>
      <c r="C89" s="41" t="n">
        <v>2027</v>
      </c>
      <c r="D89" s="40" t="s">
        <v>48</v>
      </c>
      <c r="E89" s="42" t="n">
        <f aca="false">'Parcelas Mensais'!E89</f>
        <v>0</v>
      </c>
      <c r="F89" s="44" t="n">
        <f aca="false">H89/42</f>
        <v>7390.96976190476</v>
      </c>
      <c r="G89" s="152" t="n">
        <f aca="false">'Parcelas Mensais'!G89</f>
        <v>0</v>
      </c>
      <c r="H89" s="44" t="n">
        <f aca="false">O88</f>
        <v>310420.73</v>
      </c>
      <c r="I89" s="45" t="n">
        <f aca="false">'Parcelas Mensais'!I89</f>
        <v>0</v>
      </c>
      <c r="J89" s="46" t="n">
        <f aca="false">'Parcelas Mensais'!J89</f>
        <v>0</v>
      </c>
      <c r="K89" s="47"/>
      <c r="L89" s="44" t="n">
        <f aca="false">O89</f>
        <v>310420.73</v>
      </c>
      <c r="M89" s="47"/>
      <c r="N89" s="44" t="n">
        <f aca="false">O89</f>
        <v>310420.73</v>
      </c>
      <c r="O89" s="44" t="n">
        <f aca="false">H89-IF(G89="",0,G89)</f>
        <v>310420.73</v>
      </c>
      <c r="P89" s="44" t="n">
        <f aca="false">'Parcelas Mensais'!P89</f>
        <v>0</v>
      </c>
      <c r="Q89" s="44" t="n">
        <f aca="false">'Parcelas Mensais'!Q89</f>
        <v>0</v>
      </c>
      <c r="R89" s="47"/>
      <c r="S89" s="47"/>
    </row>
    <row r="90" customFormat="false" ht="15" hidden="false" customHeight="true" outlineLevel="0" collapsed="false">
      <c r="B90" s="34" t="n">
        <v>80</v>
      </c>
      <c r="C90" s="35" t="n">
        <v>2027</v>
      </c>
      <c r="D90" s="34" t="s">
        <v>49</v>
      </c>
      <c r="E90" s="36" t="n">
        <f aca="false">'Parcelas Mensais'!E90</f>
        <v>0</v>
      </c>
      <c r="F90" s="38" t="n">
        <f aca="false">H90/41</f>
        <v>7571.23731707317</v>
      </c>
      <c r="G90" s="152" t="n">
        <f aca="false">'Parcelas Mensais'!G90</f>
        <v>0</v>
      </c>
      <c r="H90" s="38" t="n">
        <f aca="false">O89</f>
        <v>310420.73</v>
      </c>
      <c r="I90" s="22" t="n">
        <f aca="false">'Parcelas Mensais'!I90</f>
        <v>0</v>
      </c>
      <c r="J90" s="39" t="n">
        <f aca="false">'Parcelas Mensais'!J90</f>
        <v>0</v>
      </c>
      <c r="K90" s="24"/>
      <c r="L90" s="38" t="n">
        <f aca="false">O90</f>
        <v>310420.73</v>
      </c>
      <c r="M90" s="24"/>
      <c r="N90" s="38" t="n">
        <f aca="false">O90</f>
        <v>310420.73</v>
      </c>
      <c r="O90" s="38" t="n">
        <f aca="false">H90-IF(G90="",0,G90)</f>
        <v>310420.73</v>
      </c>
      <c r="P90" s="38" t="n">
        <f aca="false">'Parcelas Mensais'!P90</f>
        <v>0</v>
      </c>
      <c r="Q90" s="38" t="n">
        <f aca="false">'Parcelas Mensais'!Q90</f>
        <v>0</v>
      </c>
      <c r="R90" s="24"/>
      <c r="S90" s="24"/>
    </row>
    <row r="91" customFormat="false" ht="15" hidden="false" customHeight="true" outlineLevel="0" collapsed="false">
      <c r="B91" s="40" t="n">
        <v>81</v>
      </c>
      <c r="C91" s="41" t="n">
        <v>2027</v>
      </c>
      <c r="D91" s="40" t="s">
        <v>50</v>
      </c>
      <c r="E91" s="42" t="n">
        <f aca="false">'Parcelas Mensais'!E91</f>
        <v>0</v>
      </c>
      <c r="F91" s="44" t="n">
        <f aca="false">H91/40</f>
        <v>7760.51825</v>
      </c>
      <c r="G91" s="152" t="n">
        <f aca="false">'Parcelas Mensais'!G91</f>
        <v>0</v>
      </c>
      <c r="H91" s="44" t="n">
        <f aca="false">O90</f>
        <v>310420.73</v>
      </c>
      <c r="I91" s="45" t="n">
        <f aca="false">'Parcelas Mensais'!I91</f>
        <v>0</v>
      </c>
      <c r="J91" s="46" t="n">
        <f aca="false">'Parcelas Mensais'!J91</f>
        <v>0</v>
      </c>
      <c r="K91" s="47"/>
      <c r="L91" s="44" t="n">
        <f aca="false">O91</f>
        <v>310420.73</v>
      </c>
      <c r="M91" s="47"/>
      <c r="N91" s="44" t="n">
        <f aca="false">O91</f>
        <v>310420.73</v>
      </c>
      <c r="O91" s="44" t="n">
        <f aca="false">H91-IF(G91="",0,G91)</f>
        <v>310420.73</v>
      </c>
      <c r="P91" s="44" t="n">
        <f aca="false">'Parcelas Mensais'!P91</f>
        <v>0</v>
      </c>
      <c r="Q91" s="44" t="n">
        <f aca="false">'Parcelas Mensais'!Q91</f>
        <v>0</v>
      </c>
      <c r="R91" s="47"/>
      <c r="S91" s="47"/>
    </row>
    <row r="92" customFormat="false" ht="15" hidden="false" customHeight="true" outlineLevel="0" collapsed="false">
      <c r="B92" s="34" t="n">
        <v>82</v>
      </c>
      <c r="C92" s="35" t="n">
        <v>2028</v>
      </c>
      <c r="D92" s="34" t="s">
        <v>51</v>
      </c>
      <c r="E92" s="36" t="n">
        <f aca="false">'Parcelas Mensais'!E92</f>
        <v>0</v>
      </c>
      <c r="F92" s="38" t="n">
        <f aca="false">H92/39</f>
        <v>7959.5058974359</v>
      </c>
      <c r="G92" s="152" t="n">
        <f aca="false">'Parcelas Mensais'!G92</f>
        <v>0</v>
      </c>
      <c r="H92" s="38" t="n">
        <f aca="false">O91</f>
        <v>310420.73</v>
      </c>
      <c r="I92" s="22" t="n">
        <f aca="false">'Parcelas Mensais'!I92</f>
        <v>0</v>
      </c>
      <c r="J92" s="39" t="n">
        <f aca="false">'Parcelas Mensais'!J92</f>
        <v>0</v>
      </c>
      <c r="K92" s="24"/>
      <c r="L92" s="38" t="n">
        <f aca="false">O92</f>
        <v>310420.73</v>
      </c>
      <c r="M92" s="24"/>
      <c r="N92" s="38" t="n">
        <f aca="false">O92</f>
        <v>310420.73</v>
      </c>
      <c r="O92" s="38" t="n">
        <f aca="false">H92-IF(G92="",0,G92)</f>
        <v>310420.73</v>
      </c>
      <c r="P92" s="38" t="n">
        <f aca="false">'Parcelas Mensais'!P92</f>
        <v>0</v>
      </c>
      <c r="Q92" s="38" t="n">
        <f aca="false">'Parcelas Mensais'!Q92</f>
        <v>0</v>
      </c>
      <c r="R92" s="24"/>
      <c r="S92" s="24"/>
    </row>
    <row r="93" customFormat="false" ht="15" hidden="false" customHeight="true" outlineLevel="0" collapsed="false">
      <c r="B93" s="40" t="n">
        <v>83</v>
      </c>
      <c r="C93" s="41" t="n">
        <v>2028</v>
      </c>
      <c r="D93" s="40" t="s">
        <v>52</v>
      </c>
      <c r="E93" s="42" t="n">
        <f aca="false">'Parcelas Mensais'!E93</f>
        <v>0</v>
      </c>
      <c r="F93" s="44" t="n">
        <f aca="false">H93/38</f>
        <v>8168.96657894737</v>
      </c>
      <c r="G93" s="152" t="n">
        <f aca="false">'Parcelas Mensais'!G93</f>
        <v>0</v>
      </c>
      <c r="H93" s="44" t="n">
        <f aca="false">O92</f>
        <v>310420.73</v>
      </c>
      <c r="I93" s="45" t="n">
        <f aca="false">'Parcelas Mensais'!I93</f>
        <v>0</v>
      </c>
      <c r="J93" s="46" t="n">
        <f aca="false">'Parcelas Mensais'!J93</f>
        <v>0</v>
      </c>
      <c r="K93" s="47"/>
      <c r="L93" s="44" t="n">
        <f aca="false">O93</f>
        <v>310420.73</v>
      </c>
      <c r="M93" s="47"/>
      <c r="N93" s="44" t="n">
        <f aca="false">O93</f>
        <v>310420.73</v>
      </c>
      <c r="O93" s="44" t="n">
        <f aca="false">H93-IF(G93="",0,G93)</f>
        <v>310420.73</v>
      </c>
      <c r="P93" s="44" t="n">
        <f aca="false">'Parcelas Mensais'!P93</f>
        <v>0</v>
      </c>
      <c r="Q93" s="44" t="n">
        <f aca="false">'Parcelas Mensais'!Q93</f>
        <v>0</v>
      </c>
      <c r="R93" s="47"/>
      <c r="S93" s="47"/>
    </row>
    <row r="94" customFormat="false" ht="15" hidden="false" customHeight="true" outlineLevel="0" collapsed="false">
      <c r="B94" s="49" t="n">
        <v>84</v>
      </c>
      <c r="C94" s="50" t="n">
        <v>2028</v>
      </c>
      <c r="D94" s="49" t="s">
        <v>41</v>
      </c>
      <c r="E94" s="51" t="n">
        <f aca="false">'Parcelas Mensais'!E94</f>
        <v>0</v>
      </c>
      <c r="F94" s="53" t="n">
        <f aca="false">H94/37</f>
        <v>8389.74945945946</v>
      </c>
      <c r="G94" s="152" t="n">
        <f aca="false">'Parcelas Mensais'!G94</f>
        <v>0</v>
      </c>
      <c r="H94" s="53" t="n">
        <f aca="false">O93</f>
        <v>310420.73</v>
      </c>
      <c r="I94" s="54" t="n">
        <f aca="false">'Parcelas Mensais'!I94</f>
        <v>0</v>
      </c>
      <c r="J94" s="55" t="n">
        <f aca="false">'Parcelas Mensais'!J94</f>
        <v>0</v>
      </c>
      <c r="K94" s="154" t="n">
        <v>0</v>
      </c>
      <c r="L94" s="53" t="n">
        <f aca="false">ROUND(O94*(1+K94),2)</f>
        <v>310420.73</v>
      </c>
      <c r="M94" s="53" t="n">
        <f aca="false">ROUND(L94*10.6906/100,2)</f>
        <v>33185.84</v>
      </c>
      <c r="N94" s="56" t="n">
        <f aca="false">L94+M94</f>
        <v>343606.57</v>
      </c>
      <c r="O94" s="53" t="n">
        <f aca="false">H94-IF(G94="",0,G94)</f>
        <v>310420.73</v>
      </c>
      <c r="P94" s="53" t="n">
        <f aca="false">'Parcelas Mensais'!P94</f>
        <v>0</v>
      </c>
      <c r="Q94" s="53" t="n">
        <f aca="false">'Parcelas Mensais'!Q94</f>
        <v>0</v>
      </c>
      <c r="R94" s="157"/>
      <c r="S94" s="157"/>
    </row>
    <row r="95" customFormat="false" ht="15" hidden="false" customHeight="true" outlineLevel="0" collapsed="false">
      <c r="B95" s="40" t="n">
        <v>85</v>
      </c>
      <c r="C95" s="41" t="n">
        <v>2028</v>
      </c>
      <c r="D95" s="40" t="s">
        <v>42</v>
      </c>
      <c r="E95" s="42" t="n">
        <f aca="false">'Parcelas Mensais'!E95</f>
        <v>0</v>
      </c>
      <c r="F95" s="44" t="n">
        <f aca="false">H95/36</f>
        <v>9544.62694444444</v>
      </c>
      <c r="G95" s="152" t="n">
        <f aca="false">'Parcelas Mensais'!G95</f>
        <v>0</v>
      </c>
      <c r="H95" s="44" t="n">
        <f aca="false">N94</f>
        <v>343606.57</v>
      </c>
      <c r="I95" s="45" t="n">
        <f aca="false">'Parcelas Mensais'!I95</f>
        <v>0</v>
      </c>
      <c r="J95" s="46" t="n">
        <f aca="false">'Parcelas Mensais'!J95</f>
        <v>0</v>
      </c>
      <c r="K95" s="47"/>
      <c r="L95" s="44" t="n">
        <f aca="false">O95</f>
        <v>343606.57</v>
      </c>
      <c r="M95" s="47"/>
      <c r="N95" s="44" t="n">
        <f aca="false">O95</f>
        <v>343606.57</v>
      </c>
      <c r="O95" s="44" t="n">
        <f aca="false">H95-IF(G95="",0,G95)</f>
        <v>343606.57</v>
      </c>
      <c r="P95" s="44" t="n">
        <f aca="false">'Parcelas Mensais'!P95</f>
        <v>0</v>
      </c>
      <c r="Q95" s="44" t="n">
        <f aca="false">'Parcelas Mensais'!Q95</f>
        <v>0</v>
      </c>
      <c r="R95" s="153" t="n">
        <f aca="false">Reajustes!I27</f>
        <v>87897.797426174</v>
      </c>
      <c r="S95" s="47"/>
    </row>
    <row r="96" customFormat="false" ht="15" hidden="false" customHeight="true" outlineLevel="0" collapsed="false">
      <c r="B96" s="34" t="n">
        <v>86</v>
      </c>
      <c r="C96" s="35" t="n">
        <v>2028</v>
      </c>
      <c r="D96" s="34" t="s">
        <v>43</v>
      </c>
      <c r="E96" s="36" t="n">
        <f aca="false">'Parcelas Mensais'!E96</f>
        <v>0</v>
      </c>
      <c r="F96" s="38" t="n">
        <f aca="false">H96/35</f>
        <v>9817.33057142857</v>
      </c>
      <c r="G96" s="152" t="n">
        <f aca="false">'Parcelas Mensais'!G96</f>
        <v>0</v>
      </c>
      <c r="H96" s="38" t="n">
        <f aca="false">O95</f>
        <v>343606.57</v>
      </c>
      <c r="I96" s="22" t="n">
        <f aca="false">'Parcelas Mensais'!I96</f>
        <v>0</v>
      </c>
      <c r="J96" s="39" t="n">
        <f aca="false">'Parcelas Mensais'!J96</f>
        <v>0</v>
      </c>
      <c r="K96" s="24"/>
      <c r="L96" s="38" t="n">
        <f aca="false">O96</f>
        <v>343606.57</v>
      </c>
      <c r="M96" s="24"/>
      <c r="N96" s="38" t="n">
        <f aca="false">O96</f>
        <v>343606.57</v>
      </c>
      <c r="O96" s="38" t="n">
        <f aca="false">H96-IF(G96="",0,G96)</f>
        <v>343606.57</v>
      </c>
      <c r="P96" s="38" t="n">
        <f aca="false">'Parcelas Mensais'!P96</f>
        <v>0</v>
      </c>
      <c r="Q96" s="38" t="n">
        <f aca="false">'Parcelas Mensais'!Q96</f>
        <v>0</v>
      </c>
      <c r="R96" s="24"/>
      <c r="S96" s="24"/>
    </row>
    <row r="97" customFormat="false" ht="15" hidden="false" customHeight="true" outlineLevel="0" collapsed="false">
      <c r="B97" s="40" t="n">
        <v>87</v>
      </c>
      <c r="C97" s="41" t="n">
        <v>2028</v>
      </c>
      <c r="D97" s="40" t="s">
        <v>44</v>
      </c>
      <c r="E97" s="42" t="n">
        <f aca="false">'Parcelas Mensais'!E97</f>
        <v>0</v>
      </c>
      <c r="F97" s="44" t="n">
        <f aca="false">H97/34</f>
        <v>10106.0755882353</v>
      </c>
      <c r="G97" s="152" t="n">
        <f aca="false">'Parcelas Mensais'!G97</f>
        <v>0</v>
      </c>
      <c r="H97" s="44" t="n">
        <f aca="false">O96</f>
        <v>343606.57</v>
      </c>
      <c r="I97" s="45" t="n">
        <f aca="false">'Parcelas Mensais'!I97</f>
        <v>0</v>
      </c>
      <c r="J97" s="46" t="n">
        <f aca="false">'Parcelas Mensais'!J97</f>
        <v>0</v>
      </c>
      <c r="K97" s="47"/>
      <c r="L97" s="44" t="n">
        <f aca="false">O97</f>
        <v>343606.57</v>
      </c>
      <c r="M97" s="47"/>
      <c r="N97" s="44" t="n">
        <f aca="false">O97</f>
        <v>343606.57</v>
      </c>
      <c r="O97" s="44" t="n">
        <f aca="false">H97-IF(G97="",0,G97)</f>
        <v>343606.57</v>
      </c>
      <c r="P97" s="44" t="n">
        <f aca="false">'Parcelas Mensais'!P97</f>
        <v>0</v>
      </c>
      <c r="Q97" s="44" t="n">
        <f aca="false">'Parcelas Mensais'!Q97</f>
        <v>0</v>
      </c>
      <c r="R97" s="47"/>
      <c r="S97" s="47"/>
    </row>
    <row r="98" customFormat="false" ht="15" hidden="false" customHeight="true" outlineLevel="0" collapsed="false">
      <c r="B98" s="34" t="n">
        <v>88</v>
      </c>
      <c r="C98" s="35" t="n">
        <v>2028</v>
      </c>
      <c r="D98" s="34" t="s">
        <v>45</v>
      </c>
      <c r="E98" s="36" t="n">
        <f aca="false">'Parcelas Mensais'!E98</f>
        <v>0</v>
      </c>
      <c r="F98" s="38" t="n">
        <f aca="false">H98/33</f>
        <v>10412.3203030303</v>
      </c>
      <c r="G98" s="152" t="n">
        <f aca="false">'Parcelas Mensais'!G98</f>
        <v>0</v>
      </c>
      <c r="H98" s="38" t="n">
        <f aca="false">O97</f>
        <v>343606.57</v>
      </c>
      <c r="I98" s="22" t="n">
        <f aca="false">'Parcelas Mensais'!I98</f>
        <v>0</v>
      </c>
      <c r="J98" s="39" t="n">
        <f aca="false">'Parcelas Mensais'!J98</f>
        <v>0</v>
      </c>
      <c r="K98" s="24"/>
      <c r="L98" s="38" t="n">
        <f aca="false">O98</f>
        <v>343606.57</v>
      </c>
      <c r="M98" s="24"/>
      <c r="N98" s="38" t="n">
        <f aca="false">O98</f>
        <v>343606.57</v>
      </c>
      <c r="O98" s="38" t="n">
        <f aca="false">H98-IF(G98="",0,G98)</f>
        <v>343606.57</v>
      </c>
      <c r="P98" s="38" t="n">
        <f aca="false">'Parcelas Mensais'!P98</f>
        <v>0</v>
      </c>
      <c r="Q98" s="38" t="n">
        <f aca="false">'Parcelas Mensais'!Q98</f>
        <v>0</v>
      </c>
      <c r="R98" s="24"/>
      <c r="S98" s="24"/>
    </row>
    <row r="99" customFormat="false" ht="15" hidden="false" customHeight="true" outlineLevel="0" collapsed="false">
      <c r="B99" s="40" t="n">
        <v>89</v>
      </c>
      <c r="C99" s="41" t="n">
        <v>2028</v>
      </c>
      <c r="D99" s="40" t="s">
        <v>46</v>
      </c>
      <c r="E99" s="42" t="n">
        <f aca="false">'Parcelas Mensais'!E99</f>
        <v>0</v>
      </c>
      <c r="F99" s="44" t="n">
        <f aca="false">H99/32</f>
        <v>10737.7053125</v>
      </c>
      <c r="G99" s="152" t="n">
        <f aca="false">'Parcelas Mensais'!G99</f>
        <v>0</v>
      </c>
      <c r="H99" s="44" t="n">
        <f aca="false">O98</f>
        <v>343606.57</v>
      </c>
      <c r="I99" s="45" t="n">
        <f aca="false">'Parcelas Mensais'!I99</f>
        <v>0</v>
      </c>
      <c r="J99" s="46" t="n">
        <f aca="false">'Parcelas Mensais'!J99</f>
        <v>0</v>
      </c>
      <c r="K99" s="47"/>
      <c r="L99" s="44" t="n">
        <f aca="false">O99</f>
        <v>343606.57</v>
      </c>
      <c r="M99" s="47"/>
      <c r="N99" s="44" t="n">
        <f aca="false">O99</f>
        <v>343606.57</v>
      </c>
      <c r="O99" s="44" t="n">
        <f aca="false">H99-IF(G99="",0,G99)</f>
        <v>343606.57</v>
      </c>
      <c r="P99" s="44" t="n">
        <f aca="false">'Parcelas Mensais'!P99</f>
        <v>0</v>
      </c>
      <c r="Q99" s="44" t="n">
        <f aca="false">'Parcelas Mensais'!Q99</f>
        <v>0</v>
      </c>
      <c r="R99" s="47"/>
      <c r="S99" s="47"/>
    </row>
    <row r="100" customFormat="false" ht="15" hidden="false" customHeight="true" outlineLevel="0" collapsed="false">
      <c r="B100" s="34" t="n">
        <v>90</v>
      </c>
      <c r="C100" s="35" t="n">
        <v>2028</v>
      </c>
      <c r="D100" s="34" t="s">
        <v>47</v>
      </c>
      <c r="E100" s="36" t="n">
        <f aca="false">'Parcelas Mensais'!E100</f>
        <v>0</v>
      </c>
      <c r="F100" s="38" t="n">
        <f aca="false">H100/31</f>
        <v>11084.0829032258</v>
      </c>
      <c r="G100" s="152" t="n">
        <f aca="false">'Parcelas Mensais'!G100</f>
        <v>0</v>
      </c>
      <c r="H100" s="38" t="n">
        <f aca="false">O99</f>
        <v>343606.57</v>
      </c>
      <c r="I100" s="22" t="n">
        <f aca="false">'Parcelas Mensais'!I100</f>
        <v>0</v>
      </c>
      <c r="J100" s="39" t="n">
        <f aca="false">'Parcelas Mensais'!J100</f>
        <v>0</v>
      </c>
      <c r="K100" s="24"/>
      <c r="L100" s="38" t="n">
        <f aca="false">O100</f>
        <v>343606.57</v>
      </c>
      <c r="M100" s="24"/>
      <c r="N100" s="38" t="n">
        <f aca="false">O100</f>
        <v>343606.57</v>
      </c>
      <c r="O100" s="38" t="n">
        <f aca="false">H100-IF(G100="",0,G100)</f>
        <v>343606.57</v>
      </c>
      <c r="P100" s="38" t="n">
        <f aca="false">'Parcelas Mensais'!P100</f>
        <v>0</v>
      </c>
      <c r="Q100" s="38" t="n">
        <f aca="false">'Parcelas Mensais'!Q100</f>
        <v>0</v>
      </c>
      <c r="R100" s="24"/>
      <c r="S100" s="24"/>
    </row>
    <row r="101" customFormat="false" ht="15" hidden="false" customHeight="true" outlineLevel="0" collapsed="false">
      <c r="B101" s="40" t="n">
        <v>91</v>
      </c>
      <c r="C101" s="41" t="n">
        <v>2028</v>
      </c>
      <c r="D101" s="40" t="s">
        <v>48</v>
      </c>
      <c r="E101" s="42" t="n">
        <f aca="false">'Parcelas Mensais'!E101</f>
        <v>0</v>
      </c>
      <c r="F101" s="44" t="n">
        <f aca="false">H101/30</f>
        <v>11453.5523333333</v>
      </c>
      <c r="G101" s="152" t="n">
        <f aca="false">'Parcelas Mensais'!G101</f>
        <v>0</v>
      </c>
      <c r="H101" s="44" t="n">
        <f aca="false">O100</f>
        <v>343606.57</v>
      </c>
      <c r="I101" s="45" t="n">
        <f aca="false">'Parcelas Mensais'!I101</f>
        <v>0</v>
      </c>
      <c r="J101" s="46" t="n">
        <f aca="false">'Parcelas Mensais'!J101</f>
        <v>0</v>
      </c>
      <c r="K101" s="47"/>
      <c r="L101" s="44" t="n">
        <f aca="false">O101</f>
        <v>343606.57</v>
      </c>
      <c r="M101" s="47"/>
      <c r="N101" s="44" t="n">
        <f aca="false">O101</f>
        <v>343606.57</v>
      </c>
      <c r="O101" s="44" t="n">
        <f aca="false">H101-IF(G101="",0,G101)</f>
        <v>343606.57</v>
      </c>
      <c r="P101" s="44" t="n">
        <f aca="false">'Parcelas Mensais'!P101</f>
        <v>0</v>
      </c>
      <c r="Q101" s="44" t="n">
        <f aca="false">'Parcelas Mensais'!Q101</f>
        <v>0</v>
      </c>
      <c r="R101" s="47"/>
      <c r="S101" s="47"/>
    </row>
    <row r="102" customFormat="false" ht="15" hidden="false" customHeight="true" outlineLevel="0" collapsed="false">
      <c r="B102" s="34" t="n">
        <v>92</v>
      </c>
      <c r="C102" s="35" t="n">
        <v>2028</v>
      </c>
      <c r="D102" s="34" t="s">
        <v>49</v>
      </c>
      <c r="E102" s="36" t="n">
        <f aca="false">'Parcelas Mensais'!E102</f>
        <v>0</v>
      </c>
      <c r="F102" s="38" t="n">
        <f aca="false">H102/29</f>
        <v>11848.5024137931</v>
      </c>
      <c r="G102" s="152" t="n">
        <f aca="false">'Parcelas Mensais'!G102</f>
        <v>0</v>
      </c>
      <c r="H102" s="38" t="n">
        <f aca="false">O101</f>
        <v>343606.57</v>
      </c>
      <c r="I102" s="22" t="n">
        <f aca="false">'Parcelas Mensais'!I102</f>
        <v>0</v>
      </c>
      <c r="J102" s="39" t="n">
        <f aca="false">'Parcelas Mensais'!J102</f>
        <v>0</v>
      </c>
      <c r="K102" s="24"/>
      <c r="L102" s="38" t="n">
        <f aca="false">O102</f>
        <v>343606.57</v>
      </c>
      <c r="M102" s="24"/>
      <c r="N102" s="38" t="n">
        <f aca="false">O102</f>
        <v>343606.57</v>
      </c>
      <c r="O102" s="38" t="n">
        <f aca="false">H102-IF(G102="",0,G102)</f>
        <v>343606.57</v>
      </c>
      <c r="P102" s="38" t="n">
        <f aca="false">'Parcelas Mensais'!P102</f>
        <v>0</v>
      </c>
      <c r="Q102" s="38" t="n">
        <f aca="false">'Parcelas Mensais'!Q102</f>
        <v>0</v>
      </c>
      <c r="R102" s="24"/>
      <c r="S102" s="24"/>
    </row>
    <row r="103" customFormat="false" ht="15" hidden="false" customHeight="true" outlineLevel="0" collapsed="false">
      <c r="B103" s="40" t="n">
        <v>93</v>
      </c>
      <c r="C103" s="41" t="n">
        <v>2028</v>
      </c>
      <c r="D103" s="40" t="s">
        <v>50</v>
      </c>
      <c r="E103" s="42" t="n">
        <f aca="false">'Parcelas Mensais'!E103</f>
        <v>0</v>
      </c>
      <c r="F103" s="44" t="n">
        <f aca="false">H103/28</f>
        <v>12271.6632142857</v>
      </c>
      <c r="G103" s="152" t="n">
        <f aca="false">'Parcelas Mensais'!G103</f>
        <v>0</v>
      </c>
      <c r="H103" s="44" t="n">
        <f aca="false">O102</f>
        <v>343606.57</v>
      </c>
      <c r="I103" s="45" t="n">
        <f aca="false">'Parcelas Mensais'!I103</f>
        <v>0</v>
      </c>
      <c r="J103" s="46" t="n">
        <f aca="false">'Parcelas Mensais'!J103</f>
        <v>0</v>
      </c>
      <c r="K103" s="47"/>
      <c r="L103" s="44" t="n">
        <f aca="false">O103</f>
        <v>343606.57</v>
      </c>
      <c r="M103" s="47"/>
      <c r="N103" s="44" t="n">
        <f aca="false">O103</f>
        <v>343606.57</v>
      </c>
      <c r="O103" s="44" t="n">
        <f aca="false">H103-IF(G103="",0,G103)</f>
        <v>343606.57</v>
      </c>
      <c r="P103" s="44" t="n">
        <f aca="false">'Parcelas Mensais'!P103</f>
        <v>0</v>
      </c>
      <c r="Q103" s="44" t="n">
        <f aca="false">'Parcelas Mensais'!Q103</f>
        <v>0</v>
      </c>
      <c r="R103" s="47"/>
      <c r="S103" s="47"/>
    </row>
    <row r="104" customFormat="false" ht="15" hidden="false" customHeight="true" outlineLevel="0" collapsed="false">
      <c r="B104" s="34" t="n">
        <v>94</v>
      </c>
      <c r="C104" s="35" t="n">
        <v>2029</v>
      </c>
      <c r="D104" s="34" t="s">
        <v>51</v>
      </c>
      <c r="E104" s="36" t="n">
        <f aca="false">'Parcelas Mensais'!E104</f>
        <v>0</v>
      </c>
      <c r="F104" s="38" t="n">
        <f aca="false">H104/27</f>
        <v>12726.1692592593</v>
      </c>
      <c r="G104" s="152" t="n">
        <f aca="false">'Parcelas Mensais'!G104</f>
        <v>0</v>
      </c>
      <c r="H104" s="38" t="n">
        <f aca="false">O103</f>
        <v>343606.57</v>
      </c>
      <c r="I104" s="22" t="n">
        <f aca="false">'Parcelas Mensais'!I104</f>
        <v>0</v>
      </c>
      <c r="J104" s="39" t="n">
        <f aca="false">'Parcelas Mensais'!J104</f>
        <v>0</v>
      </c>
      <c r="K104" s="24"/>
      <c r="L104" s="38" t="n">
        <f aca="false">O104</f>
        <v>343606.57</v>
      </c>
      <c r="M104" s="24"/>
      <c r="N104" s="38" t="n">
        <f aca="false">O104</f>
        <v>343606.57</v>
      </c>
      <c r="O104" s="38" t="n">
        <f aca="false">H104-IF(G104="",0,G104)</f>
        <v>343606.57</v>
      </c>
      <c r="P104" s="38" t="n">
        <f aca="false">'Parcelas Mensais'!P104</f>
        <v>0</v>
      </c>
      <c r="Q104" s="38" t="n">
        <f aca="false">'Parcelas Mensais'!Q104</f>
        <v>0</v>
      </c>
      <c r="R104" s="24"/>
      <c r="S104" s="24"/>
    </row>
    <row r="105" customFormat="false" ht="15" hidden="false" customHeight="true" outlineLevel="0" collapsed="false">
      <c r="B105" s="40" t="n">
        <v>95</v>
      </c>
      <c r="C105" s="41" t="n">
        <v>2029</v>
      </c>
      <c r="D105" s="40" t="s">
        <v>52</v>
      </c>
      <c r="E105" s="42" t="n">
        <f aca="false">'Parcelas Mensais'!E105</f>
        <v>0</v>
      </c>
      <c r="F105" s="44" t="n">
        <f aca="false">H105/26</f>
        <v>13215.6373076923</v>
      </c>
      <c r="G105" s="152" t="n">
        <f aca="false">'Parcelas Mensais'!G105</f>
        <v>0</v>
      </c>
      <c r="H105" s="44" t="n">
        <f aca="false">O104</f>
        <v>343606.57</v>
      </c>
      <c r="I105" s="45" t="n">
        <f aca="false">'Parcelas Mensais'!I105</f>
        <v>0</v>
      </c>
      <c r="J105" s="46" t="n">
        <f aca="false">'Parcelas Mensais'!J105</f>
        <v>0</v>
      </c>
      <c r="K105" s="47"/>
      <c r="L105" s="44" t="n">
        <f aca="false">O105</f>
        <v>343606.57</v>
      </c>
      <c r="M105" s="47"/>
      <c r="N105" s="44" t="n">
        <f aca="false">O105</f>
        <v>343606.57</v>
      </c>
      <c r="O105" s="44" t="n">
        <f aca="false">H105-IF(G105="",0,G105)</f>
        <v>343606.57</v>
      </c>
      <c r="P105" s="44" t="n">
        <f aca="false">'Parcelas Mensais'!P105</f>
        <v>0</v>
      </c>
      <c r="Q105" s="44" t="n">
        <f aca="false">'Parcelas Mensais'!Q105</f>
        <v>0</v>
      </c>
      <c r="R105" s="47"/>
      <c r="S105" s="47"/>
    </row>
    <row r="106" customFormat="false" ht="15" hidden="false" customHeight="true" outlineLevel="0" collapsed="false">
      <c r="B106" s="49" t="n">
        <v>96</v>
      </c>
      <c r="C106" s="50" t="n">
        <v>2029</v>
      </c>
      <c r="D106" s="49" t="s">
        <v>41</v>
      </c>
      <c r="E106" s="51" t="n">
        <f aca="false">'Parcelas Mensais'!E106</f>
        <v>0</v>
      </c>
      <c r="F106" s="53" t="n">
        <f aca="false">H106/25</f>
        <v>13744.2628</v>
      </c>
      <c r="G106" s="152" t="n">
        <f aca="false">'Parcelas Mensais'!G106</f>
        <v>0</v>
      </c>
      <c r="H106" s="53" t="n">
        <f aca="false">O105</f>
        <v>343606.57</v>
      </c>
      <c r="I106" s="54" t="n">
        <f aca="false">'Parcelas Mensais'!I106</f>
        <v>0</v>
      </c>
      <c r="J106" s="55" t="n">
        <f aca="false">'Parcelas Mensais'!J106</f>
        <v>0</v>
      </c>
      <c r="K106" s="154" t="n">
        <v>0</v>
      </c>
      <c r="L106" s="53" t="n">
        <f aca="false">ROUND(O106*(1+K106),2)</f>
        <v>343606.57</v>
      </c>
      <c r="M106" s="53" t="n">
        <f aca="false">ROUND(L106*10.6906/100,2)</f>
        <v>36733.6</v>
      </c>
      <c r="N106" s="56" t="n">
        <f aca="false">L106+M106</f>
        <v>380340.17</v>
      </c>
      <c r="O106" s="53" t="n">
        <f aca="false">H106-IF(G106="",0,G106)</f>
        <v>343606.57</v>
      </c>
      <c r="P106" s="53" t="n">
        <f aca="false">'Parcelas Mensais'!P106</f>
        <v>0</v>
      </c>
      <c r="Q106" s="53" t="n">
        <f aca="false">'Parcelas Mensais'!Q106</f>
        <v>0</v>
      </c>
      <c r="R106" s="157"/>
      <c r="S106" s="157"/>
    </row>
    <row r="107" customFormat="false" ht="15" hidden="false" customHeight="true" outlineLevel="0" collapsed="false">
      <c r="B107" s="40" t="n">
        <v>97</v>
      </c>
      <c r="C107" s="41" t="n">
        <v>2029</v>
      </c>
      <c r="D107" s="40" t="s">
        <v>42</v>
      </c>
      <c r="E107" s="42" t="n">
        <f aca="false">'Parcelas Mensais'!E107</f>
        <v>0</v>
      </c>
      <c r="F107" s="44" t="n">
        <f aca="false">H107/24</f>
        <v>15847.5070833333</v>
      </c>
      <c r="G107" s="152" t="n">
        <f aca="false">'Parcelas Mensais'!G107</f>
        <v>0</v>
      </c>
      <c r="H107" s="44" t="n">
        <f aca="false">N106</f>
        <v>380340.17</v>
      </c>
      <c r="I107" s="45" t="n">
        <f aca="false">'Parcelas Mensais'!I107</f>
        <v>0</v>
      </c>
      <c r="J107" s="46" t="n">
        <f aca="false">'Parcelas Mensais'!J107</f>
        <v>0</v>
      </c>
      <c r="K107" s="47"/>
      <c r="L107" s="44" t="n">
        <f aca="false">O107</f>
        <v>380340.17</v>
      </c>
      <c r="M107" s="47"/>
      <c r="N107" s="44" t="n">
        <f aca="false">O107</f>
        <v>380340.17</v>
      </c>
      <c r="O107" s="44" t="n">
        <f aca="false">H107-IF(G107="",0,G107)</f>
        <v>380340.17</v>
      </c>
      <c r="P107" s="44" t="n">
        <f aca="false">'Parcelas Mensais'!P107</f>
        <v>0</v>
      </c>
      <c r="Q107" s="44" t="n">
        <f aca="false">'Parcelas Mensais'!Q107</f>
        <v>0</v>
      </c>
      <c r="R107" s="153" t="n">
        <f aca="false">Reajustes!I28</f>
        <v>97294.6193038868</v>
      </c>
      <c r="S107" s="47"/>
    </row>
    <row r="108" customFormat="false" ht="15" hidden="false" customHeight="true" outlineLevel="0" collapsed="false">
      <c r="B108" s="34" t="n">
        <v>98</v>
      </c>
      <c r="C108" s="35" t="n">
        <v>2029</v>
      </c>
      <c r="D108" s="34" t="s">
        <v>43</v>
      </c>
      <c r="E108" s="36" t="n">
        <f aca="false">'Parcelas Mensais'!E108</f>
        <v>0</v>
      </c>
      <c r="F108" s="38" t="n">
        <f aca="false">H108/23</f>
        <v>16536.5291304348</v>
      </c>
      <c r="G108" s="152" t="n">
        <f aca="false">'Parcelas Mensais'!G108</f>
        <v>0</v>
      </c>
      <c r="H108" s="38" t="n">
        <f aca="false">O107</f>
        <v>380340.17</v>
      </c>
      <c r="I108" s="22" t="n">
        <f aca="false">'Parcelas Mensais'!I108</f>
        <v>0</v>
      </c>
      <c r="J108" s="39" t="n">
        <f aca="false">'Parcelas Mensais'!J108</f>
        <v>0</v>
      </c>
      <c r="K108" s="24"/>
      <c r="L108" s="38" t="n">
        <f aca="false">O108</f>
        <v>380340.17</v>
      </c>
      <c r="M108" s="24"/>
      <c r="N108" s="38" t="n">
        <f aca="false">O108</f>
        <v>380340.17</v>
      </c>
      <c r="O108" s="38" t="n">
        <f aca="false">H108-IF(G108="",0,G108)</f>
        <v>380340.17</v>
      </c>
      <c r="P108" s="38" t="n">
        <f aca="false">'Parcelas Mensais'!P108</f>
        <v>0</v>
      </c>
      <c r="Q108" s="38" t="n">
        <f aca="false">'Parcelas Mensais'!Q108</f>
        <v>0</v>
      </c>
      <c r="R108" s="24"/>
      <c r="S108" s="24"/>
    </row>
    <row r="109" customFormat="false" ht="15" hidden="false" customHeight="true" outlineLevel="0" collapsed="false">
      <c r="B109" s="40" t="n">
        <v>99</v>
      </c>
      <c r="C109" s="41" t="n">
        <v>2029</v>
      </c>
      <c r="D109" s="40" t="s">
        <v>44</v>
      </c>
      <c r="E109" s="42" t="n">
        <f aca="false">'Parcelas Mensais'!E109</f>
        <v>0</v>
      </c>
      <c r="F109" s="44" t="n">
        <f aca="false">H109/22</f>
        <v>17288.1895454545</v>
      </c>
      <c r="G109" s="152" t="n">
        <f aca="false">'Parcelas Mensais'!G109</f>
        <v>0</v>
      </c>
      <c r="H109" s="44" t="n">
        <f aca="false">O108</f>
        <v>380340.17</v>
      </c>
      <c r="I109" s="45" t="n">
        <f aca="false">'Parcelas Mensais'!I109</f>
        <v>0</v>
      </c>
      <c r="J109" s="46" t="n">
        <f aca="false">'Parcelas Mensais'!J109</f>
        <v>0</v>
      </c>
      <c r="K109" s="47"/>
      <c r="L109" s="44" t="n">
        <f aca="false">O109</f>
        <v>380340.17</v>
      </c>
      <c r="M109" s="47"/>
      <c r="N109" s="44" t="n">
        <f aca="false">O109</f>
        <v>380340.17</v>
      </c>
      <c r="O109" s="44" t="n">
        <f aca="false">H109-IF(G109="",0,G109)</f>
        <v>380340.17</v>
      </c>
      <c r="P109" s="44" t="n">
        <f aca="false">'Parcelas Mensais'!P109</f>
        <v>0</v>
      </c>
      <c r="Q109" s="44" t="n">
        <f aca="false">'Parcelas Mensais'!Q109</f>
        <v>0</v>
      </c>
      <c r="R109" s="47"/>
      <c r="S109" s="47"/>
    </row>
    <row r="110" customFormat="false" ht="15" hidden="false" customHeight="true" outlineLevel="0" collapsed="false">
      <c r="B110" s="34" t="n">
        <v>100</v>
      </c>
      <c r="C110" s="35" t="n">
        <v>2029</v>
      </c>
      <c r="D110" s="34" t="s">
        <v>45</v>
      </c>
      <c r="E110" s="36" t="n">
        <f aca="false">'Parcelas Mensais'!E110</f>
        <v>0</v>
      </c>
      <c r="F110" s="38" t="n">
        <f aca="false">H110/21</f>
        <v>18111.4366666667</v>
      </c>
      <c r="G110" s="152" t="n">
        <f aca="false">'Parcelas Mensais'!G110</f>
        <v>0</v>
      </c>
      <c r="H110" s="38" t="n">
        <f aca="false">O109</f>
        <v>380340.17</v>
      </c>
      <c r="I110" s="22" t="n">
        <f aca="false">'Parcelas Mensais'!I110</f>
        <v>0</v>
      </c>
      <c r="J110" s="39" t="n">
        <f aca="false">'Parcelas Mensais'!J110</f>
        <v>0</v>
      </c>
      <c r="K110" s="24"/>
      <c r="L110" s="38" t="n">
        <f aca="false">O110</f>
        <v>380340.17</v>
      </c>
      <c r="M110" s="24"/>
      <c r="N110" s="38" t="n">
        <f aca="false">O110</f>
        <v>380340.17</v>
      </c>
      <c r="O110" s="38" t="n">
        <f aca="false">H110-IF(G110="",0,G110)</f>
        <v>380340.17</v>
      </c>
      <c r="P110" s="38" t="n">
        <f aca="false">'Parcelas Mensais'!P110</f>
        <v>0</v>
      </c>
      <c r="Q110" s="38" t="n">
        <f aca="false">'Parcelas Mensais'!Q110</f>
        <v>0</v>
      </c>
      <c r="R110" s="24"/>
      <c r="S110" s="24"/>
    </row>
    <row r="111" customFormat="false" ht="15" hidden="false" customHeight="true" outlineLevel="0" collapsed="false">
      <c r="B111" s="40" t="n">
        <v>101</v>
      </c>
      <c r="C111" s="41" t="n">
        <v>2029</v>
      </c>
      <c r="D111" s="40" t="s">
        <v>46</v>
      </c>
      <c r="E111" s="42" t="n">
        <f aca="false">'Parcelas Mensais'!E111</f>
        <v>0</v>
      </c>
      <c r="F111" s="44" t="n">
        <f aca="false">H111/20</f>
        <v>19017.0085</v>
      </c>
      <c r="G111" s="152" t="n">
        <f aca="false">'Parcelas Mensais'!G111</f>
        <v>0</v>
      </c>
      <c r="H111" s="44" t="n">
        <f aca="false">O110</f>
        <v>380340.17</v>
      </c>
      <c r="I111" s="45" t="n">
        <f aca="false">'Parcelas Mensais'!I111</f>
        <v>0</v>
      </c>
      <c r="J111" s="46" t="n">
        <f aca="false">'Parcelas Mensais'!J111</f>
        <v>0</v>
      </c>
      <c r="K111" s="47"/>
      <c r="L111" s="44" t="n">
        <f aca="false">O111</f>
        <v>380340.17</v>
      </c>
      <c r="M111" s="47"/>
      <c r="N111" s="44" t="n">
        <f aca="false">O111</f>
        <v>380340.17</v>
      </c>
      <c r="O111" s="44" t="n">
        <f aca="false">H111-IF(G111="",0,G111)</f>
        <v>380340.17</v>
      </c>
      <c r="P111" s="44" t="n">
        <f aca="false">'Parcelas Mensais'!P111</f>
        <v>0</v>
      </c>
      <c r="Q111" s="44" t="n">
        <f aca="false">'Parcelas Mensais'!Q111</f>
        <v>0</v>
      </c>
      <c r="R111" s="47"/>
      <c r="S111" s="47"/>
    </row>
    <row r="112" customFormat="false" ht="15" hidden="false" customHeight="true" outlineLevel="0" collapsed="false">
      <c r="B112" s="34" t="n">
        <v>102</v>
      </c>
      <c r="C112" s="35" t="n">
        <v>2029</v>
      </c>
      <c r="D112" s="34" t="s">
        <v>47</v>
      </c>
      <c r="E112" s="36" t="n">
        <f aca="false">'Parcelas Mensais'!E112</f>
        <v>0</v>
      </c>
      <c r="F112" s="38" t="n">
        <f aca="false">H112/19</f>
        <v>20017.9036842105</v>
      </c>
      <c r="G112" s="152" t="n">
        <f aca="false">'Parcelas Mensais'!G112</f>
        <v>0</v>
      </c>
      <c r="H112" s="38" t="n">
        <f aca="false">O111</f>
        <v>380340.17</v>
      </c>
      <c r="I112" s="22" t="n">
        <f aca="false">'Parcelas Mensais'!I112</f>
        <v>0</v>
      </c>
      <c r="J112" s="39" t="n">
        <f aca="false">'Parcelas Mensais'!J112</f>
        <v>0</v>
      </c>
      <c r="K112" s="24"/>
      <c r="L112" s="38" t="n">
        <f aca="false">O112</f>
        <v>380340.17</v>
      </c>
      <c r="M112" s="24"/>
      <c r="N112" s="38" t="n">
        <f aca="false">O112</f>
        <v>380340.17</v>
      </c>
      <c r="O112" s="38" t="n">
        <f aca="false">H112-IF(G112="",0,G112)</f>
        <v>380340.17</v>
      </c>
      <c r="P112" s="38" t="n">
        <f aca="false">'Parcelas Mensais'!P112</f>
        <v>0</v>
      </c>
      <c r="Q112" s="38" t="n">
        <f aca="false">'Parcelas Mensais'!Q112</f>
        <v>0</v>
      </c>
      <c r="R112" s="24"/>
      <c r="S112" s="24"/>
    </row>
    <row r="113" customFormat="false" ht="15" hidden="false" customHeight="true" outlineLevel="0" collapsed="false">
      <c r="B113" s="40" t="n">
        <v>103</v>
      </c>
      <c r="C113" s="41" t="n">
        <v>2029</v>
      </c>
      <c r="D113" s="40" t="s">
        <v>48</v>
      </c>
      <c r="E113" s="42" t="n">
        <f aca="false">'Parcelas Mensais'!E113</f>
        <v>0</v>
      </c>
      <c r="F113" s="44" t="n">
        <f aca="false">H113/18</f>
        <v>21130.0094444444</v>
      </c>
      <c r="G113" s="152" t="n">
        <f aca="false">'Parcelas Mensais'!G113</f>
        <v>0</v>
      </c>
      <c r="H113" s="44" t="n">
        <f aca="false">O112</f>
        <v>380340.17</v>
      </c>
      <c r="I113" s="45" t="n">
        <f aca="false">'Parcelas Mensais'!I113</f>
        <v>0</v>
      </c>
      <c r="J113" s="46" t="n">
        <f aca="false">'Parcelas Mensais'!J113</f>
        <v>0</v>
      </c>
      <c r="K113" s="47"/>
      <c r="L113" s="44" t="n">
        <f aca="false">O113</f>
        <v>380340.17</v>
      </c>
      <c r="M113" s="47"/>
      <c r="N113" s="44" t="n">
        <f aca="false">O113</f>
        <v>380340.17</v>
      </c>
      <c r="O113" s="44" t="n">
        <f aca="false">H113-IF(G113="",0,G113)</f>
        <v>380340.17</v>
      </c>
      <c r="P113" s="44" t="n">
        <f aca="false">'Parcelas Mensais'!P113</f>
        <v>0</v>
      </c>
      <c r="Q113" s="44" t="n">
        <f aca="false">'Parcelas Mensais'!Q113</f>
        <v>0</v>
      </c>
      <c r="R113" s="47"/>
      <c r="S113" s="47"/>
    </row>
    <row r="114" customFormat="false" ht="15" hidden="false" customHeight="true" outlineLevel="0" collapsed="false">
      <c r="B114" s="34" t="n">
        <v>104</v>
      </c>
      <c r="C114" s="35" t="n">
        <v>2029</v>
      </c>
      <c r="D114" s="34" t="s">
        <v>49</v>
      </c>
      <c r="E114" s="36" t="n">
        <f aca="false">'Parcelas Mensais'!E114</f>
        <v>0</v>
      </c>
      <c r="F114" s="38" t="n">
        <f aca="false">H114/17</f>
        <v>22372.9511764706</v>
      </c>
      <c r="G114" s="152" t="n">
        <f aca="false">'Parcelas Mensais'!G114</f>
        <v>0</v>
      </c>
      <c r="H114" s="38" t="n">
        <f aca="false">O113</f>
        <v>380340.17</v>
      </c>
      <c r="I114" s="22" t="n">
        <f aca="false">'Parcelas Mensais'!I114</f>
        <v>0</v>
      </c>
      <c r="J114" s="39" t="n">
        <f aca="false">'Parcelas Mensais'!J114</f>
        <v>0</v>
      </c>
      <c r="K114" s="24"/>
      <c r="L114" s="38" t="n">
        <f aca="false">O114</f>
        <v>380340.17</v>
      </c>
      <c r="M114" s="24"/>
      <c r="N114" s="38" t="n">
        <f aca="false">O114</f>
        <v>380340.17</v>
      </c>
      <c r="O114" s="38" t="n">
        <f aca="false">H114-IF(G114="",0,G114)</f>
        <v>380340.17</v>
      </c>
      <c r="P114" s="38" t="n">
        <f aca="false">'Parcelas Mensais'!P114</f>
        <v>0</v>
      </c>
      <c r="Q114" s="38" t="n">
        <f aca="false">'Parcelas Mensais'!Q114</f>
        <v>0</v>
      </c>
      <c r="R114" s="24"/>
      <c r="S114" s="24"/>
    </row>
    <row r="115" customFormat="false" ht="15" hidden="false" customHeight="true" outlineLevel="0" collapsed="false">
      <c r="B115" s="40" t="n">
        <v>105</v>
      </c>
      <c r="C115" s="41" t="n">
        <v>2029</v>
      </c>
      <c r="D115" s="40" t="s">
        <v>50</v>
      </c>
      <c r="E115" s="42" t="n">
        <f aca="false">'Parcelas Mensais'!E115</f>
        <v>0</v>
      </c>
      <c r="F115" s="44" t="n">
        <f aca="false">H115/16</f>
        <v>23771.260625</v>
      </c>
      <c r="G115" s="152" t="n">
        <f aca="false">'Parcelas Mensais'!G115</f>
        <v>0</v>
      </c>
      <c r="H115" s="44" t="n">
        <f aca="false">O114</f>
        <v>380340.17</v>
      </c>
      <c r="I115" s="45" t="n">
        <f aca="false">'Parcelas Mensais'!I115</f>
        <v>0</v>
      </c>
      <c r="J115" s="46" t="n">
        <f aca="false">'Parcelas Mensais'!J115</f>
        <v>0</v>
      </c>
      <c r="K115" s="47"/>
      <c r="L115" s="44" t="n">
        <f aca="false">O115</f>
        <v>380340.17</v>
      </c>
      <c r="M115" s="47"/>
      <c r="N115" s="44" t="n">
        <f aca="false">O115</f>
        <v>380340.17</v>
      </c>
      <c r="O115" s="44" t="n">
        <f aca="false">H115-IF(G115="",0,G115)</f>
        <v>380340.17</v>
      </c>
      <c r="P115" s="44" t="n">
        <f aca="false">'Parcelas Mensais'!P115</f>
        <v>0</v>
      </c>
      <c r="Q115" s="44" t="n">
        <f aca="false">'Parcelas Mensais'!Q115</f>
        <v>0</v>
      </c>
      <c r="R115" s="47"/>
      <c r="S115" s="47"/>
    </row>
    <row r="116" customFormat="false" ht="15" hidden="false" customHeight="true" outlineLevel="0" collapsed="false">
      <c r="B116" s="34" t="n">
        <v>106</v>
      </c>
      <c r="C116" s="35" t="n">
        <v>2030</v>
      </c>
      <c r="D116" s="34" t="s">
        <v>51</v>
      </c>
      <c r="E116" s="36" t="n">
        <f aca="false">'Parcelas Mensais'!E116</f>
        <v>0</v>
      </c>
      <c r="F116" s="38" t="n">
        <f aca="false">H116/15</f>
        <v>25356.0113333333</v>
      </c>
      <c r="G116" s="152" t="n">
        <f aca="false">'Parcelas Mensais'!G116</f>
        <v>0</v>
      </c>
      <c r="H116" s="38" t="n">
        <f aca="false">O115</f>
        <v>380340.17</v>
      </c>
      <c r="I116" s="22" t="n">
        <f aca="false">'Parcelas Mensais'!I116</f>
        <v>0</v>
      </c>
      <c r="J116" s="39" t="n">
        <f aca="false">'Parcelas Mensais'!J116</f>
        <v>0</v>
      </c>
      <c r="K116" s="24"/>
      <c r="L116" s="38" t="n">
        <f aca="false">O116</f>
        <v>380340.17</v>
      </c>
      <c r="M116" s="24"/>
      <c r="N116" s="38" t="n">
        <f aca="false">O116</f>
        <v>380340.17</v>
      </c>
      <c r="O116" s="38" t="n">
        <f aca="false">H116-IF(G116="",0,G116)</f>
        <v>380340.17</v>
      </c>
      <c r="P116" s="38" t="n">
        <f aca="false">'Parcelas Mensais'!P116</f>
        <v>0</v>
      </c>
      <c r="Q116" s="38" t="n">
        <f aca="false">'Parcelas Mensais'!Q116</f>
        <v>0</v>
      </c>
      <c r="R116" s="24"/>
      <c r="S116" s="24"/>
    </row>
    <row r="117" customFormat="false" ht="15" hidden="false" customHeight="true" outlineLevel="0" collapsed="false">
      <c r="B117" s="40" t="n">
        <v>107</v>
      </c>
      <c r="C117" s="41" t="n">
        <v>2030</v>
      </c>
      <c r="D117" s="40" t="s">
        <v>52</v>
      </c>
      <c r="E117" s="42" t="n">
        <f aca="false">'Parcelas Mensais'!E117</f>
        <v>0</v>
      </c>
      <c r="F117" s="44" t="n">
        <f aca="false">H117/14</f>
        <v>27167.155</v>
      </c>
      <c r="G117" s="152" t="n">
        <f aca="false">'Parcelas Mensais'!G117</f>
        <v>0</v>
      </c>
      <c r="H117" s="44" t="n">
        <f aca="false">O116</f>
        <v>380340.17</v>
      </c>
      <c r="I117" s="45" t="n">
        <f aca="false">'Parcelas Mensais'!I117</f>
        <v>0</v>
      </c>
      <c r="J117" s="46" t="n">
        <f aca="false">'Parcelas Mensais'!J117</f>
        <v>0</v>
      </c>
      <c r="K117" s="47"/>
      <c r="L117" s="44" t="n">
        <f aca="false">O117</f>
        <v>380340.17</v>
      </c>
      <c r="M117" s="47"/>
      <c r="N117" s="44" t="n">
        <f aca="false">O117</f>
        <v>380340.17</v>
      </c>
      <c r="O117" s="44" t="n">
        <f aca="false">H117-IF(G117="",0,G117)</f>
        <v>380340.17</v>
      </c>
      <c r="P117" s="44" t="n">
        <f aca="false">'Parcelas Mensais'!P117</f>
        <v>0</v>
      </c>
      <c r="Q117" s="44" t="n">
        <f aca="false">'Parcelas Mensais'!Q117</f>
        <v>0</v>
      </c>
      <c r="R117" s="47"/>
      <c r="S117" s="47"/>
    </row>
    <row r="118" customFormat="false" ht="15" hidden="false" customHeight="true" outlineLevel="0" collapsed="false">
      <c r="B118" s="49" t="n">
        <v>108</v>
      </c>
      <c r="C118" s="50" t="n">
        <v>2030</v>
      </c>
      <c r="D118" s="49" t="s">
        <v>41</v>
      </c>
      <c r="E118" s="51" t="n">
        <f aca="false">'Parcelas Mensais'!E118</f>
        <v>0</v>
      </c>
      <c r="F118" s="53" t="n">
        <f aca="false">H118/13</f>
        <v>29256.9361538462</v>
      </c>
      <c r="G118" s="152" t="n">
        <f aca="false">'Parcelas Mensais'!G118</f>
        <v>0</v>
      </c>
      <c r="H118" s="53" t="n">
        <f aca="false">O117</f>
        <v>380340.17</v>
      </c>
      <c r="I118" s="54" t="n">
        <f aca="false">'Parcelas Mensais'!I118</f>
        <v>0</v>
      </c>
      <c r="J118" s="55" t="n">
        <f aca="false">'Parcelas Mensais'!J118</f>
        <v>0</v>
      </c>
      <c r="K118" s="154" t="n">
        <v>0</v>
      </c>
      <c r="L118" s="53" t="n">
        <f aca="false">ROUND(O118*(1+K118),2)</f>
        <v>380340.17</v>
      </c>
      <c r="M118" s="53" t="n">
        <f aca="false">ROUND(L118*10.6906/100,2)</f>
        <v>40660.65</v>
      </c>
      <c r="N118" s="56" t="n">
        <f aca="false">L118+M118</f>
        <v>421000.82</v>
      </c>
      <c r="O118" s="53" t="n">
        <f aca="false">H118-IF(G118="",0,G118)</f>
        <v>380340.17</v>
      </c>
      <c r="P118" s="53" t="n">
        <f aca="false">'Parcelas Mensais'!P118</f>
        <v>0</v>
      </c>
      <c r="Q118" s="53" t="n">
        <f aca="false">'Parcelas Mensais'!Q118</f>
        <v>0</v>
      </c>
      <c r="R118" s="157"/>
      <c r="S118" s="157"/>
    </row>
    <row r="119" customFormat="false" ht="15" hidden="false" customHeight="true" outlineLevel="0" collapsed="false">
      <c r="B119" s="40" t="n">
        <v>109</v>
      </c>
      <c r="C119" s="41" t="n">
        <v>2030</v>
      </c>
      <c r="D119" s="40" t="s">
        <v>42</v>
      </c>
      <c r="E119" s="42" t="n">
        <f aca="false">'Parcelas Mensais'!E119</f>
        <v>0</v>
      </c>
      <c r="F119" s="44" t="n">
        <f aca="false">H119/12</f>
        <v>35083.4016666667</v>
      </c>
      <c r="G119" s="152" t="n">
        <f aca="false">'Parcelas Mensais'!G119</f>
        <v>0</v>
      </c>
      <c r="H119" s="44" t="n">
        <f aca="false">N118</f>
        <v>421000.82</v>
      </c>
      <c r="I119" s="45" t="n">
        <f aca="false">'Parcelas Mensais'!I119</f>
        <v>0</v>
      </c>
      <c r="J119" s="46" t="n">
        <f aca="false">'Parcelas Mensais'!J119</f>
        <v>0</v>
      </c>
      <c r="K119" s="47"/>
      <c r="L119" s="44" t="n">
        <f aca="false">O119</f>
        <v>421000.82</v>
      </c>
      <c r="M119" s="47"/>
      <c r="N119" s="44" t="n">
        <f aca="false">O119</f>
        <v>421000.82</v>
      </c>
      <c r="O119" s="44" t="n">
        <f aca="false">H119-IF(G119="",0,G119)</f>
        <v>421000.82</v>
      </c>
      <c r="P119" s="44" t="n">
        <f aca="false">'Parcelas Mensais'!P119</f>
        <v>0</v>
      </c>
      <c r="Q119" s="44" t="n">
        <f aca="false">'Parcelas Mensais'!Q119</f>
        <v>0</v>
      </c>
      <c r="R119" s="153" t="n">
        <f aca="false">Reajustes!I29</f>
        <v>107696.019953617</v>
      </c>
      <c r="S119" s="47"/>
    </row>
    <row r="120" customFormat="false" ht="15" hidden="false" customHeight="true" outlineLevel="0" collapsed="false">
      <c r="B120" s="34" t="n">
        <v>110</v>
      </c>
      <c r="C120" s="35" t="n">
        <v>2030</v>
      </c>
      <c r="D120" s="34" t="s">
        <v>43</v>
      </c>
      <c r="E120" s="36" t="n">
        <f aca="false">'Parcelas Mensais'!E120</f>
        <v>0</v>
      </c>
      <c r="F120" s="38" t="n">
        <f aca="false">H120/11</f>
        <v>38272.8018181818</v>
      </c>
      <c r="G120" s="152" t="n">
        <f aca="false">'Parcelas Mensais'!G120</f>
        <v>0</v>
      </c>
      <c r="H120" s="38" t="n">
        <f aca="false">O119</f>
        <v>421000.82</v>
      </c>
      <c r="I120" s="22" t="n">
        <f aca="false">'Parcelas Mensais'!I120</f>
        <v>0</v>
      </c>
      <c r="J120" s="39" t="n">
        <f aca="false">'Parcelas Mensais'!J120</f>
        <v>0</v>
      </c>
      <c r="K120" s="24"/>
      <c r="L120" s="38" t="n">
        <f aca="false">O120</f>
        <v>421000.82</v>
      </c>
      <c r="M120" s="24"/>
      <c r="N120" s="38" t="n">
        <f aca="false">O120</f>
        <v>421000.82</v>
      </c>
      <c r="O120" s="38" t="n">
        <f aca="false">H120-IF(G120="",0,G120)</f>
        <v>421000.82</v>
      </c>
      <c r="P120" s="38" t="n">
        <f aca="false">'Parcelas Mensais'!P120</f>
        <v>0</v>
      </c>
      <c r="Q120" s="38" t="n">
        <f aca="false">'Parcelas Mensais'!Q120</f>
        <v>0</v>
      </c>
      <c r="R120" s="24"/>
      <c r="S120" s="24"/>
    </row>
    <row r="121" customFormat="false" ht="15" hidden="false" customHeight="true" outlineLevel="0" collapsed="false">
      <c r="B121" s="40" t="n">
        <v>111</v>
      </c>
      <c r="C121" s="41" t="n">
        <v>2030</v>
      </c>
      <c r="D121" s="40" t="s">
        <v>44</v>
      </c>
      <c r="E121" s="42" t="n">
        <f aca="false">'Parcelas Mensais'!E121</f>
        <v>0</v>
      </c>
      <c r="F121" s="44" t="n">
        <f aca="false">H121/10</f>
        <v>42100.082</v>
      </c>
      <c r="G121" s="152" t="n">
        <f aca="false">'Parcelas Mensais'!G121</f>
        <v>0</v>
      </c>
      <c r="H121" s="44" t="n">
        <f aca="false">O120</f>
        <v>421000.82</v>
      </c>
      <c r="I121" s="45" t="n">
        <f aca="false">'Parcelas Mensais'!I121</f>
        <v>0</v>
      </c>
      <c r="J121" s="46" t="n">
        <f aca="false">'Parcelas Mensais'!J121</f>
        <v>0</v>
      </c>
      <c r="K121" s="47"/>
      <c r="L121" s="44" t="n">
        <f aca="false">O121</f>
        <v>421000.82</v>
      </c>
      <c r="M121" s="47"/>
      <c r="N121" s="44" t="n">
        <f aca="false">O121</f>
        <v>421000.82</v>
      </c>
      <c r="O121" s="44" t="n">
        <f aca="false">H121-IF(G121="",0,G121)</f>
        <v>421000.82</v>
      </c>
      <c r="P121" s="44" t="n">
        <f aca="false">'Parcelas Mensais'!P121</f>
        <v>0</v>
      </c>
      <c r="Q121" s="44" t="n">
        <f aca="false">'Parcelas Mensais'!Q121</f>
        <v>0</v>
      </c>
      <c r="R121" s="47"/>
      <c r="S121" s="47"/>
    </row>
    <row r="122" customFormat="false" ht="15" hidden="false" customHeight="true" outlineLevel="0" collapsed="false">
      <c r="B122" s="34" t="n">
        <v>112</v>
      </c>
      <c r="C122" s="35" t="n">
        <v>2030</v>
      </c>
      <c r="D122" s="34" t="s">
        <v>45</v>
      </c>
      <c r="E122" s="36" t="n">
        <f aca="false">'Parcelas Mensais'!E122</f>
        <v>0</v>
      </c>
      <c r="F122" s="38" t="n">
        <f aca="false">H122/9</f>
        <v>46777.8688888889</v>
      </c>
      <c r="G122" s="152" t="n">
        <f aca="false">'Parcelas Mensais'!G122</f>
        <v>0</v>
      </c>
      <c r="H122" s="38" t="n">
        <f aca="false">O121</f>
        <v>421000.82</v>
      </c>
      <c r="I122" s="22" t="n">
        <f aca="false">'Parcelas Mensais'!I122</f>
        <v>0</v>
      </c>
      <c r="J122" s="39" t="n">
        <f aca="false">'Parcelas Mensais'!J122</f>
        <v>0</v>
      </c>
      <c r="K122" s="24"/>
      <c r="L122" s="38" t="n">
        <f aca="false">O122</f>
        <v>421000.82</v>
      </c>
      <c r="M122" s="24"/>
      <c r="N122" s="38" t="n">
        <f aca="false">O122</f>
        <v>421000.82</v>
      </c>
      <c r="O122" s="38" t="n">
        <f aca="false">H122-IF(G122="",0,G122)</f>
        <v>421000.82</v>
      </c>
      <c r="P122" s="38" t="n">
        <f aca="false">'Parcelas Mensais'!P122</f>
        <v>0</v>
      </c>
      <c r="Q122" s="38" t="n">
        <f aca="false">'Parcelas Mensais'!Q122</f>
        <v>0</v>
      </c>
      <c r="R122" s="24"/>
      <c r="S122" s="24"/>
    </row>
    <row r="123" customFormat="false" ht="15" hidden="false" customHeight="true" outlineLevel="0" collapsed="false">
      <c r="B123" s="40" t="n">
        <v>113</v>
      </c>
      <c r="C123" s="41" t="n">
        <v>2030</v>
      </c>
      <c r="D123" s="40" t="s">
        <v>46</v>
      </c>
      <c r="E123" s="42" t="n">
        <f aca="false">'Parcelas Mensais'!E123</f>
        <v>0</v>
      </c>
      <c r="F123" s="44" t="n">
        <f aca="false">H123/8</f>
        <v>52625.1025</v>
      </c>
      <c r="G123" s="152" t="n">
        <f aca="false">'Parcelas Mensais'!G123</f>
        <v>0</v>
      </c>
      <c r="H123" s="44" t="n">
        <f aca="false">O122</f>
        <v>421000.82</v>
      </c>
      <c r="I123" s="45" t="n">
        <f aca="false">'Parcelas Mensais'!I123</f>
        <v>0</v>
      </c>
      <c r="J123" s="46" t="n">
        <f aca="false">'Parcelas Mensais'!J123</f>
        <v>0</v>
      </c>
      <c r="K123" s="47"/>
      <c r="L123" s="44" t="n">
        <f aca="false">O123</f>
        <v>421000.82</v>
      </c>
      <c r="M123" s="47"/>
      <c r="N123" s="44" t="n">
        <f aca="false">O123</f>
        <v>421000.82</v>
      </c>
      <c r="O123" s="44" t="n">
        <f aca="false">H123-IF(G123="",0,G123)</f>
        <v>421000.82</v>
      </c>
      <c r="P123" s="44" t="n">
        <f aca="false">'Parcelas Mensais'!P123</f>
        <v>0</v>
      </c>
      <c r="Q123" s="44" t="n">
        <f aca="false">'Parcelas Mensais'!Q123</f>
        <v>0</v>
      </c>
      <c r="R123" s="47"/>
      <c r="S123" s="47"/>
    </row>
    <row r="124" customFormat="false" ht="15" hidden="false" customHeight="true" outlineLevel="0" collapsed="false">
      <c r="B124" s="34" t="n">
        <v>114</v>
      </c>
      <c r="C124" s="35" t="n">
        <v>2030</v>
      </c>
      <c r="D124" s="34" t="s">
        <v>47</v>
      </c>
      <c r="E124" s="36" t="n">
        <f aca="false">'Parcelas Mensais'!E124</f>
        <v>0</v>
      </c>
      <c r="F124" s="38" t="n">
        <f aca="false">H124/7</f>
        <v>60142.9742857143</v>
      </c>
      <c r="G124" s="152" t="n">
        <f aca="false">'Parcelas Mensais'!G124</f>
        <v>0</v>
      </c>
      <c r="H124" s="38" t="n">
        <f aca="false">O123</f>
        <v>421000.82</v>
      </c>
      <c r="I124" s="22" t="n">
        <f aca="false">'Parcelas Mensais'!I124</f>
        <v>0</v>
      </c>
      <c r="J124" s="39" t="n">
        <f aca="false">'Parcelas Mensais'!J124</f>
        <v>0</v>
      </c>
      <c r="K124" s="24"/>
      <c r="L124" s="38" t="n">
        <f aca="false">O124</f>
        <v>421000.82</v>
      </c>
      <c r="M124" s="24"/>
      <c r="N124" s="38" t="n">
        <f aca="false">O124</f>
        <v>421000.82</v>
      </c>
      <c r="O124" s="38" t="n">
        <f aca="false">H124-IF(G124="",0,G124)</f>
        <v>421000.82</v>
      </c>
      <c r="P124" s="38" t="n">
        <f aca="false">'Parcelas Mensais'!P124</f>
        <v>0</v>
      </c>
      <c r="Q124" s="38" t="n">
        <f aca="false">'Parcelas Mensais'!Q124</f>
        <v>0</v>
      </c>
      <c r="R124" s="24"/>
      <c r="S124" s="24"/>
    </row>
    <row r="125" customFormat="false" ht="15" hidden="false" customHeight="true" outlineLevel="0" collapsed="false">
      <c r="B125" s="40" t="n">
        <v>115</v>
      </c>
      <c r="C125" s="41" t="n">
        <v>2030</v>
      </c>
      <c r="D125" s="40" t="s">
        <v>48</v>
      </c>
      <c r="E125" s="42" t="n">
        <f aca="false">'Parcelas Mensais'!E125</f>
        <v>0</v>
      </c>
      <c r="F125" s="44" t="n">
        <f aca="false">H125/6</f>
        <v>70166.8033333333</v>
      </c>
      <c r="G125" s="152" t="n">
        <f aca="false">'Parcelas Mensais'!G125</f>
        <v>0</v>
      </c>
      <c r="H125" s="44" t="n">
        <f aca="false">O124</f>
        <v>421000.82</v>
      </c>
      <c r="I125" s="45" t="n">
        <f aca="false">'Parcelas Mensais'!I125</f>
        <v>0</v>
      </c>
      <c r="J125" s="46" t="n">
        <f aca="false">'Parcelas Mensais'!J125</f>
        <v>0</v>
      </c>
      <c r="K125" s="47"/>
      <c r="L125" s="44" t="n">
        <f aca="false">O125</f>
        <v>421000.82</v>
      </c>
      <c r="M125" s="47"/>
      <c r="N125" s="44" t="n">
        <f aca="false">O125</f>
        <v>421000.82</v>
      </c>
      <c r="O125" s="44" t="n">
        <f aca="false">H125-IF(G125="",0,G125)</f>
        <v>421000.82</v>
      </c>
      <c r="P125" s="44" t="n">
        <f aca="false">'Parcelas Mensais'!P125</f>
        <v>0</v>
      </c>
      <c r="Q125" s="44" t="n">
        <f aca="false">'Parcelas Mensais'!Q125</f>
        <v>0</v>
      </c>
      <c r="R125" s="47"/>
      <c r="S125" s="47"/>
    </row>
    <row r="126" customFormat="false" ht="15" hidden="false" customHeight="true" outlineLevel="0" collapsed="false">
      <c r="B126" s="34" t="n">
        <v>116</v>
      </c>
      <c r="C126" s="35" t="n">
        <v>2030</v>
      </c>
      <c r="D126" s="34" t="s">
        <v>49</v>
      </c>
      <c r="E126" s="36" t="n">
        <f aca="false">'Parcelas Mensais'!E126</f>
        <v>0</v>
      </c>
      <c r="F126" s="38" t="n">
        <f aca="false">H126/5</f>
        <v>84200.164</v>
      </c>
      <c r="G126" s="152" t="n">
        <f aca="false">'Parcelas Mensais'!G126</f>
        <v>0</v>
      </c>
      <c r="H126" s="38" t="n">
        <f aca="false">O125</f>
        <v>421000.82</v>
      </c>
      <c r="I126" s="22" t="n">
        <f aca="false">'Parcelas Mensais'!I126</f>
        <v>0</v>
      </c>
      <c r="J126" s="39" t="n">
        <f aca="false">'Parcelas Mensais'!J126</f>
        <v>0</v>
      </c>
      <c r="K126" s="24"/>
      <c r="L126" s="38" t="n">
        <f aca="false">O126</f>
        <v>421000.82</v>
      </c>
      <c r="M126" s="24"/>
      <c r="N126" s="38" t="n">
        <f aca="false">O126</f>
        <v>421000.82</v>
      </c>
      <c r="O126" s="38" t="n">
        <f aca="false">H126-IF(G126="",0,G126)</f>
        <v>421000.82</v>
      </c>
      <c r="P126" s="38" t="n">
        <f aca="false">'Parcelas Mensais'!P126</f>
        <v>0</v>
      </c>
      <c r="Q126" s="38" t="n">
        <f aca="false">'Parcelas Mensais'!Q126</f>
        <v>0</v>
      </c>
      <c r="R126" s="24"/>
      <c r="S126" s="24"/>
    </row>
    <row r="127" customFormat="false" ht="15" hidden="false" customHeight="true" outlineLevel="0" collapsed="false">
      <c r="B127" s="40" t="n">
        <v>117</v>
      </c>
      <c r="C127" s="41" t="n">
        <v>2030</v>
      </c>
      <c r="D127" s="40" t="s">
        <v>50</v>
      </c>
      <c r="E127" s="42" t="n">
        <f aca="false">'Parcelas Mensais'!E127</f>
        <v>0</v>
      </c>
      <c r="F127" s="44" t="n">
        <f aca="false">H127/4</f>
        <v>105250.205</v>
      </c>
      <c r="G127" s="152" t="n">
        <f aca="false">'Parcelas Mensais'!G127</f>
        <v>0</v>
      </c>
      <c r="H127" s="44" t="n">
        <f aca="false">O126</f>
        <v>421000.82</v>
      </c>
      <c r="I127" s="45" t="n">
        <f aca="false">'Parcelas Mensais'!I127</f>
        <v>0</v>
      </c>
      <c r="J127" s="46" t="n">
        <f aca="false">'Parcelas Mensais'!J127</f>
        <v>0</v>
      </c>
      <c r="K127" s="47"/>
      <c r="L127" s="44" t="n">
        <f aca="false">O127</f>
        <v>421000.82</v>
      </c>
      <c r="M127" s="47"/>
      <c r="N127" s="44" t="n">
        <f aca="false">O127</f>
        <v>421000.82</v>
      </c>
      <c r="O127" s="44" t="n">
        <f aca="false">H127-IF(G127="",0,G127)</f>
        <v>421000.82</v>
      </c>
      <c r="P127" s="44" t="n">
        <f aca="false">'Parcelas Mensais'!P127</f>
        <v>0</v>
      </c>
      <c r="Q127" s="44" t="n">
        <f aca="false">'Parcelas Mensais'!Q127</f>
        <v>0</v>
      </c>
      <c r="R127" s="47"/>
      <c r="S127" s="47"/>
    </row>
    <row r="128" customFormat="false" ht="15" hidden="false" customHeight="true" outlineLevel="0" collapsed="false">
      <c r="B128" s="34" t="n">
        <v>118</v>
      </c>
      <c r="C128" s="35" t="n">
        <v>2031</v>
      </c>
      <c r="D128" s="34" t="s">
        <v>51</v>
      </c>
      <c r="E128" s="36" t="n">
        <f aca="false">'Parcelas Mensais'!E128</f>
        <v>0</v>
      </c>
      <c r="F128" s="38" t="n">
        <f aca="false">H128/3</f>
        <v>140333.606666667</v>
      </c>
      <c r="G128" s="152" t="n">
        <f aca="false">'Parcelas Mensais'!G128</f>
        <v>0</v>
      </c>
      <c r="H128" s="38" t="n">
        <f aca="false">O127</f>
        <v>421000.82</v>
      </c>
      <c r="I128" s="22" t="n">
        <f aca="false">'Parcelas Mensais'!I128</f>
        <v>0</v>
      </c>
      <c r="J128" s="39" t="n">
        <f aca="false">'Parcelas Mensais'!J128</f>
        <v>0</v>
      </c>
      <c r="K128" s="24"/>
      <c r="L128" s="38" t="n">
        <f aca="false">O128</f>
        <v>421000.82</v>
      </c>
      <c r="M128" s="24"/>
      <c r="N128" s="38" t="n">
        <f aca="false">O128</f>
        <v>421000.82</v>
      </c>
      <c r="O128" s="38" t="n">
        <f aca="false">H128-IF(G128="",0,G128)</f>
        <v>421000.82</v>
      </c>
      <c r="P128" s="38" t="n">
        <f aca="false">'Parcelas Mensais'!P128</f>
        <v>0</v>
      </c>
      <c r="Q128" s="38" t="n">
        <f aca="false">'Parcelas Mensais'!Q128</f>
        <v>0</v>
      </c>
      <c r="R128" s="24"/>
      <c r="S128" s="24"/>
    </row>
    <row r="129" customFormat="false" ht="15" hidden="false" customHeight="true" outlineLevel="0" collapsed="false">
      <c r="B129" s="40" t="n">
        <v>119</v>
      </c>
      <c r="C129" s="41" t="n">
        <v>2031</v>
      </c>
      <c r="D129" s="40" t="s">
        <v>52</v>
      </c>
      <c r="E129" s="42" t="n">
        <f aca="false">'Parcelas Mensais'!E129</f>
        <v>0</v>
      </c>
      <c r="F129" s="44" t="n">
        <f aca="false">H129/2</f>
        <v>210500.41</v>
      </c>
      <c r="G129" s="152" t="n">
        <f aca="false">'Parcelas Mensais'!G129</f>
        <v>0</v>
      </c>
      <c r="H129" s="44" t="n">
        <f aca="false">O128</f>
        <v>421000.82</v>
      </c>
      <c r="I129" s="45" t="n">
        <f aca="false">'Parcelas Mensais'!I129</f>
        <v>0</v>
      </c>
      <c r="J129" s="46" t="n">
        <f aca="false">'Parcelas Mensais'!J129</f>
        <v>0</v>
      </c>
      <c r="K129" s="47"/>
      <c r="L129" s="44" t="n">
        <f aca="false">O129</f>
        <v>421000.82</v>
      </c>
      <c r="M129" s="47"/>
      <c r="N129" s="44" t="n">
        <f aca="false">O129</f>
        <v>421000.82</v>
      </c>
      <c r="O129" s="44" t="n">
        <f aca="false">H129-IF(G129="",0,G129)</f>
        <v>421000.82</v>
      </c>
      <c r="P129" s="44" t="n">
        <f aca="false">'Parcelas Mensais'!P129</f>
        <v>0</v>
      </c>
      <c r="Q129" s="44" t="n">
        <f aca="false">'Parcelas Mensais'!Q129</f>
        <v>0</v>
      </c>
      <c r="R129" s="47"/>
      <c r="S129" s="47"/>
    </row>
    <row r="130" customFormat="false" ht="15" hidden="false" customHeight="true" outlineLevel="0" collapsed="false">
      <c r="B130" s="49" t="n">
        <v>120</v>
      </c>
      <c r="C130" s="50" t="n">
        <v>2031</v>
      </c>
      <c r="D130" s="49" t="s">
        <v>41</v>
      </c>
      <c r="E130" s="51" t="n">
        <f aca="false">'Parcelas Mensais'!E130</f>
        <v>0</v>
      </c>
      <c r="F130" s="53" t="n">
        <f aca="false">H130/1</f>
        <v>421000.82</v>
      </c>
      <c r="G130" s="52" t="n">
        <f aca="false">'Parcelas Mensais'!G130</f>
        <v>0</v>
      </c>
      <c r="H130" s="53" t="n">
        <f aca="false">O129</f>
        <v>421000.82</v>
      </c>
      <c r="I130" s="54" t="n">
        <f aca="false">'Parcelas Mensais'!I130</f>
        <v>0</v>
      </c>
      <c r="J130" s="55" t="n">
        <f aca="false">'Parcelas Mensais'!J130</f>
        <v>0</v>
      </c>
      <c r="K130" s="157"/>
      <c r="L130" s="53" t="n">
        <f aca="false">O130</f>
        <v>421000.82</v>
      </c>
      <c r="M130" s="157"/>
      <c r="N130" s="53" t="n">
        <f aca="false">O130</f>
        <v>421000.82</v>
      </c>
      <c r="O130" s="53" t="n">
        <f aca="false">H130-IF(G130="",0,G130)</f>
        <v>421000.82</v>
      </c>
      <c r="P130" s="53" t="n">
        <f aca="false">'Parcelas Mensais'!P130</f>
        <v>0</v>
      </c>
      <c r="Q130" s="53" t="n">
        <f aca="false">'Parcelas Mensais'!Q130</f>
        <v>0</v>
      </c>
      <c r="R130" s="157"/>
      <c r="S130" s="157"/>
    </row>
    <row r="131" customFormat="false" ht="15" hidden="false" customHeight="true" outlineLevel="0" collapsed="false">
      <c r="B131" s="118" t="s">
        <v>53</v>
      </c>
      <c r="C131" s="17" t="n">
        <v>2031</v>
      </c>
      <c r="D131" s="118" t="s">
        <v>42</v>
      </c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153" t="n">
        <f aca="false">Reajustes!I30</f>
        <v>119209.39510153</v>
      </c>
      <c r="S131" s="23"/>
    </row>
    <row r="132" customFormat="false" ht="15" hidden="false" customHeight="true" outlineLevel="0" collapsed="false">
      <c r="B132" s="72" t="s">
        <v>54</v>
      </c>
      <c r="C132" s="72"/>
      <c r="D132" s="72"/>
      <c r="E132" s="73"/>
      <c r="F132" s="73"/>
      <c r="G132" s="74" t="n">
        <f aca="false">SUM(G11:G130)</f>
        <v>40312.73</v>
      </c>
      <c r="H132" s="73"/>
      <c r="I132" s="73"/>
      <c r="J132" s="73"/>
      <c r="K132" s="73"/>
      <c r="L132" s="73"/>
      <c r="M132" s="73"/>
      <c r="N132" s="73"/>
      <c r="O132" s="73"/>
      <c r="P132" s="74" t="n">
        <f aca="false">SUM(P11:P130)</f>
        <v>514.161947026986</v>
      </c>
      <c r="Q132" s="74" t="n">
        <f aca="false">SUM(Q11:Q130)</f>
        <v>445.250462832908</v>
      </c>
      <c r="R132" s="75" t="n">
        <f aca="false">R131</f>
        <v>119209.39510153</v>
      </c>
      <c r="S132" s="75" t="n">
        <f aca="false">SUM(S11:S131)</f>
        <v>10000</v>
      </c>
    </row>
  </sheetData>
  <mergeCells count="11">
    <mergeCell ref="B1:S1"/>
    <mergeCell ref="B2:S2"/>
    <mergeCell ref="B3:S3"/>
    <mergeCell ref="B7:S7"/>
    <mergeCell ref="B8:D8"/>
    <mergeCell ref="F8:G8"/>
    <mergeCell ref="I8:J8"/>
    <mergeCell ref="K8:N8"/>
    <mergeCell ref="P8:Q8"/>
    <mergeCell ref="R8:S8"/>
    <mergeCell ref="B132:D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2026-04-14T01:46:25Z</dcterms:created>
  <dc:creator>openpyxl</dc:creator>
  <dc:description/>
  <dc:language>en-US</dc:language>
  <cp:lastModifiedBy/>
  <dcterms:modified xsi:type="dcterms:W3CDTF">2026-04-14T05:28:04Z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
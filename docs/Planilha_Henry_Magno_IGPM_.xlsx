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Pagamentos" sheetId="1" state="visible" r:id="rId3"/>
    <sheet name="Índices IGPM" sheetId="2" state="visible" r:id="rId4"/>
    <sheet name="Reajus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<sst xmlns="http://schemas.openxmlformats.org/spreadsheetml/2006/main" count="279" uniqueCount="99">
  <si>
    <t xml:space="preserve">CONTROLE DE PAGAMENTO — FINANCIAMENTO IMOBILIÁRIO</t>
  </si>
  <si>
    <t xml:space="preserve">DADOS DO CONTRATO</t>
  </si>
  <si>
    <t xml:space="preserve">Cliente:</t>
  </si>
  <si>
    <t xml:space="preserve">HENRY MAGNO DE OLIVEIRA SILVA</t>
  </si>
  <si>
    <t xml:space="preserve">CPF:</t>
  </si>
  <si>
    <t xml:space="preserve">074.927.647-90</t>
  </si>
  <si>
    <t xml:space="preserve">Imóvel:</t>
  </si>
  <si>
    <t xml:space="preserve">Lote 13, Quadra C — Res. Parque das Nogueiras</t>
  </si>
  <si>
    <t xml:space="preserve">Data Contrato:</t>
  </si>
  <si>
    <t xml:space="preserve">Valor Total:</t>
  </si>
  <si>
    <t xml:space="preserve">Entrada:</t>
  </si>
  <si>
    <t xml:space="preserve">Saldo:</t>
  </si>
  <si>
    <t xml:space="preserve">Parcelas:</t>
  </si>
  <si>
    <t xml:space="preserve">120 × dia 10</t>
  </si>
  <si>
    <t xml:space="preserve">IDENTIFICAÇÃO</t>
  </si>
  <si>
    <t xml:space="preserve">VALORES (R$)</t>
  </si>
  <si>
    <t xml:space="preserve">IGPM</t>
  </si>
  <si>
    <t xml:space="preserve">CORREÇÃO ANUAL</t>
  </si>
  <si>
    <t xml:space="preserve">ENCARGOS ATRASO</t>
  </si>
  <si>
    <t xml:space="preserve">Nº</t>
  </si>
  <si>
    <t xml:space="preserve">ANO</t>
  </si>
  <si>
    <t xml:space="preserve">MÊS</t>
  </si>
  <si>
    <t xml:space="preserve">DATA
PGTO</t>
  </si>
  <si>
    <t xml:space="preserve">VLR A PAGAR</t>
  </si>
  <si>
    <t xml:space="preserve">VLR PAGO</t>
  </si>
  <si>
    <t xml:space="preserve">SALDO
BASE</t>
  </si>
  <si>
    <t xml:space="preserve">NÚM.
ÍNDICE</t>
  </si>
  <si>
    <t xml:space="preserve">VAR.
MENSAL</t>
  </si>
  <si>
    <t xml:space="preserve">IGPM
ACUM 12M</t>
  </si>
  <si>
    <t xml:space="preserve">BASE
ATUAL.</t>
  </si>
  <si>
    <t xml:space="preserve">JUROS
COMP.</t>
  </si>
  <si>
    <t xml:space="preserve">VALOR
ATUAL.</t>
  </si>
  <si>
    <t xml:space="preserve">SALDO
DEVEDOR</t>
  </si>
  <si>
    <t xml:space="preserve">MULTA
2%</t>
  </si>
  <si>
    <t xml:space="preserve">JUROS MORA
0,033%/dia</t>
  </si>
  <si>
    <t xml:space="preserve">ENT.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</si>
  <si>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</si>
  <si>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</si>
  <si>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</si>
  <si>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</si>
  <si>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</si>
  <si>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</si>
  <si>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</si>
  <si>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</si>
  <si>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</si>
  <si>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</si>
  <si>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</si>
  <si>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</si>
  <si>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TOTAIS</t>
  </si>
  <si>
    <t xml:space="preserve">Diferença:</t>
  </si>
  <si>
    <t xml:space="preserve">(A Pagar - Pago):</t>
  </si>
  <si>
    <t xml:space="preserve">SÉRIE HISTÓRICA IGPM - FGV/IBRE</t>
  </si>
  <si>
    <t xml:space="preserve">Fonte: FGV/IBRE | Atualizado até FEV/2026 | Início: JUN/2020 (mês do contrato)</t>
  </si>
  <si>
    <t xml:space="preserve">NÚM. ÍNDICE</t>
  </si>
  <si>
    <t xml:space="preserve">VAR. MENSAL</t>
  </si>
  <si>
    <t xml:space="preserve">VAR. ACUM.
DESDE JUN/20</t>
  </si>
  <si>
    <t xml:space="preserve">PARÂMETROS DE REAJUSTE ANUAL</t>
  </si>
  <si>
    <t xml:space="preserve">Cláusula 2.2 - Correção: IGPM acumulado 12 meses + Juros compostos mensais</t>
  </si>
  <si>
    <t xml:space="preserve">ANO
CONTRATUAL</t>
  </si>
  <si>
    <t xml:space="preserve">PARCELAS</t>
  </si>
  <si>
    <t xml:space="preserve">PERÍODO</t>
  </si>
  <si>
    <t xml:space="preserve">JUROS
a.m.</t>
  </si>
  <si>
    <t xml:space="preserve">JUROS COMP.
12 MESES</t>
  </si>
  <si>
    <t xml:space="preserve">IGPM ACUM
12 MESES</t>
  </si>
  <si>
    <t xml:space="preserve">FATOR
CORREÇÃO</t>
  </si>
  <si>
    <t xml:space="preserve">PARCELA
MENSAL (R$)</t>
  </si>
  <si>
    <t xml:space="preserve">1º ANO</t>
  </si>
  <si>
    <t xml:space="preserve">1 - 12</t>
  </si>
  <si>
    <t xml:space="preserve">AGO/20 a JUL/21</t>
  </si>
  <si>
    <t xml:space="preserve">2º ANO</t>
  </si>
  <si>
    <t xml:space="preserve">13 - 24</t>
  </si>
  <si>
    <t xml:space="preserve">AGO/21 a JUL/22</t>
  </si>
  <si>
    <t xml:space="preserve">3º ANO</t>
  </si>
  <si>
    <t xml:space="preserve">25 - 36</t>
  </si>
  <si>
    <t xml:space="preserve">AGO/22 a JUL/23</t>
  </si>
  <si>
    <t xml:space="preserve">4º ANO</t>
  </si>
  <si>
    <t xml:space="preserve">37 - 48</t>
  </si>
  <si>
    <t xml:space="preserve">AGO/23 a JUL/24</t>
  </si>
  <si>
    <t xml:space="preserve">5º ANO</t>
  </si>
  <si>
    <t xml:space="preserve">49 - 60</t>
  </si>
  <si>
    <t xml:space="preserve">AGO/24 a JUL/25</t>
  </si>
  <si>
    <t xml:space="preserve">6º ANO</t>
  </si>
  <si>
    <t xml:space="preserve">61 - 72</t>
  </si>
  <si>
    <t xml:space="preserve">AGO/25 a JUL/26</t>
  </si>
  <si>
    <t xml:space="preserve">7º ANO</t>
  </si>
  <si>
    <t xml:space="preserve">73 - 84</t>
  </si>
  <si>
    <t xml:space="preserve">AGO/26 a JUL/27</t>
  </si>
  <si>
    <t xml:space="preserve">8º ANO</t>
  </si>
  <si>
    <t xml:space="preserve">85 - 96</t>
  </si>
  <si>
    <t xml:space="preserve">AGO/27 a JUL/28</t>
  </si>
  <si>
    <t xml:space="preserve">9º ANO</t>
  </si>
  <si>
    <t xml:space="preserve">97 - 108</t>
  </si>
  <si>
    <t xml:space="preserve">AGO/28 a JUL/29</t>
  </si>
  <si>
    <t xml:space="preserve">10º ANO</t>
  </si>
  <si>
    <t xml:space="preserve">109 - 120</t>
  </si>
  <si>
    <t xml:space="preserve">AGO/29 a JUL/30</t>
  </si>
  <si>
    <t xml:space="preserve">FÓRMULA: Parcela(N) = Parcela(N-1) × Fator Correção</t>
  </si>
  <si>
    <t xml:space="preserve">FATOR: (1 + IGPM acum 12m do ano anterior) × (1 + Juros compostos 12m do ano corrente)</t>
  </si>
  <si>
    <t xml:space="preserve">IGPM: calculado JUL/ano anterior ÷ JUL/ano retrasado - conforme cláusula 2.2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</si>
</sst>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#,##0.00;\(#,##0.00\);\-"/>
    <numFmt numFmtId="167" formatCode="0"/>
    <numFmt numFmtId="168" formatCode="#,##0.000"/>
    <numFmt numFmtId="169" formatCode="0.000000%;\(0.000000%\);\-"/>
    <numFmt numFmtId="170" formatCode="0.00%;\(0.00%\);\-"/>
    <numFmt numFmtId="171" formatCode="0.00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0"/>
      <color rgb="FF2E75B6"/>
      <name val="Calibri"/>
      <family val="0"/>
      <charset val="1"/>
    </font>
    <font>
      <sz val="10"/>
      <color rgb="FF40404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sz val="9"/>
      <color rgb="FF008000"/>
      <name val="Calibri"/>
      <family val="0"/>
      <charset val="1"/>
    </font>
    <font>
      <sz val="9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8"/>
      <color rgb="FF888888"/>
      <name val="Calibri"/>
      <family val="0"/>
      <charset val="1"/>
    </font>
    <font>
      <sz val="9"/>
      <color rgb="FFFF000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8"/>
      <color rgb="FF666666"/>
      <name val="Calibri"/>
      <family val="0"/>
      <charset val="1"/>
    </font>
    <font>
      <sz val="9"/>
      <color rgb="FF999999"/>
      <name val="Calibri"/>
      <family val="0"/>
      <charset val="1"/>
    </font>
    <font>
      <i val="true"/>
      <sz val="8"/>
      <color rgb="FF888888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8EDF3"/>
        <bgColor rgb="FFF2F7FB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D6E4F0"/>
        <bgColor rgb="FFE8EDF3"/>
      </patternFill>
    </fill>
    <fill>
      <patternFill patternType="solid">
        <fgColor rgb="FFFFFFEE"/>
        <bgColor rgb="FFFFFFFF"/>
      </patternFill>
    </fill>
    <fill>
      <patternFill patternType="solid">
        <fgColor rgb="FFF2F7FB"/>
        <bgColor rgb="FFFFFFFF"/>
      </patternFill>
    </fill>
    <fill>
      <patternFill patternType="solid">
        <fgColor rgb="FFFFF2CC"/>
        <bgColor rgb="FFFFFFEE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472C4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/>
      <right/>
      <top style="double">
        <color rgb="FF4472C4"/>
      </top>
      <bottom style="double">
        <color rgb="FF447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8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8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993366"/>
      <rgbColor rgb="FFFFF2CC"/>
      <rgbColor rgb="FFE8EDF3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CCFFCC"/>
      <rgbColor rgb="FFFFFFEE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70AD47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Q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6"/>
    <col collapsed="false" customWidth="true" hidden="false" outlineLevel="0" max="4" min="4" style="0" width="5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11"/>
    <col collapsed="false" customWidth="true" hidden="false" outlineLevel="0" max="15" min="14" style="0" width="16"/>
    <col collapsed="false" customWidth="true" hidden="false" outlineLevel="0" max="16" min="16" style="0" width="11"/>
    <col collapsed="false" customWidth="true" hidden="false" outlineLevel="0" max="17" min="17" style="0" width="12"/>
  </cols>
  <sheetData>
    <row r="1" customFormat="false" ht="1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5" hidden="false" customHeight="false" outlineLevel="0" collapsed="false">
      <c r="B4" s="4" t="s">
        <v>2</v>
      </c>
      <c r="C4" s="5" t="s">
        <v>3</v>
      </c>
      <c r="D4" s="5"/>
      <c r="E4" s="5"/>
      <c r="F4" s="5"/>
      <c r="G4" s="5"/>
      <c r="I4" s="4" t="s">
        <v>4</v>
      </c>
      <c r="J4" s="6" t="s">
        <v>5</v>
      </c>
    </row>
    <row r="5" customFormat="false" ht="15" hidden="false" customHeight="false" outlineLevel="0" collapsed="false">
      <c r="B5" s="4" t="s">
        <v>6</v>
      </c>
      <c r="C5" s="5" t="s">
        <v>7</v>
      </c>
      <c r="D5" s="5"/>
      <c r="E5" s="5"/>
      <c r="F5" s="5"/>
      <c r="G5" s="5"/>
      <c r="I5" s="4" t="s">
        <v>8</v>
      </c>
      <c r="J5" s="7" t="n">
        <v>44034</v>
      </c>
    </row>
    <row r="6" customFormat="false" ht="15" hidden="false" customHeight="false" outlineLevel="0" collapsed="false">
      <c r="B6" s="4" t="s">
        <v>9</v>
      </c>
      <c r="C6" s="8" t="n">
        <v>186334.81</v>
      </c>
      <c r="E6" s="4" t="s">
        <v>10</v>
      </c>
      <c r="F6" s="8" t="n">
        <v>100000</v>
      </c>
      <c r="H6" s="4" t="s">
        <v>11</v>
      </c>
      <c r="I6" s="8" t="n">
        <v>86334.81</v>
      </c>
      <c r="K6" s="4" t="s">
        <v>12</v>
      </c>
      <c r="L6" s="6" t="s">
        <v>13</v>
      </c>
    </row>
    <row r="7" customFormat="false" ht="15" hidden="false" customHeight="false" outlineLevel="0" collapsed="false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customFormat="false" ht="15" hidden="false" customHeight="true" outlineLevel="0" collapsed="false">
      <c r="B8" s="10" t="s">
        <v>14</v>
      </c>
      <c r="C8" s="10"/>
      <c r="D8" s="10"/>
      <c r="E8" s="11"/>
      <c r="F8" s="10" t="s">
        <v>15</v>
      </c>
      <c r="G8" s="10"/>
      <c r="H8" s="11"/>
      <c r="I8" s="10" t="s">
        <v>16</v>
      </c>
      <c r="J8" s="10"/>
      <c r="K8" s="10" t="s">
        <v>17</v>
      </c>
      <c r="L8" s="10"/>
      <c r="M8" s="10"/>
      <c r="N8" s="10"/>
      <c r="O8" s="11"/>
      <c r="P8" s="10" t="s">
        <v>18</v>
      </c>
      <c r="Q8" s="10"/>
    </row>
    <row r="9" customFormat="false" ht="22.35" hidden="false" customHeight="false" outlineLevel="0" collapsed="false">
      <c r="B9" s="12" t="s">
        <v>19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2" t="s">
        <v>29</v>
      </c>
      <c r="M9" s="12" t="s">
        <v>30</v>
      </c>
      <c r="N9" s="12" t="s">
        <v>31</v>
      </c>
      <c r="O9" s="12" t="s">
        <v>32</v>
      </c>
      <c r="P9" s="12" t="s">
        <v>33</v>
      </c>
      <c r="Q9" s="12" t="s">
        <v>34</v>
      </c>
    </row>
    <row r="10" customFormat="false" ht="15" hidden="false" customHeight="false" outlineLevel="0" collapsed="false">
      <c r="B10" s="13" t="s">
        <v>35</v>
      </c>
      <c r="C10" s="14" t="n">
        <v>2020</v>
      </c>
      <c r="D10" s="15" t="s">
        <v>36</v>
      </c>
      <c r="E10" s="16" t="n">
        <v>44034</v>
      </c>
      <c r="F10" s="17" t="n">
        <v>100000</v>
      </c>
      <c r="G10" s="18" t="n">
        <v>100000</v>
      </c>
      <c r="H10" s="18" t="n">
        <v>86334.81</v>
      </c>
      <c r="I10" s="19" t="n">
        <f aca="false">'Índices IGPM'!C5</f>
        <v>810.083</v>
      </c>
      <c r="J10" s="20"/>
      <c r="K10" s="20"/>
      <c r="L10" s="17" t="n">
        <f aca="false">H10</f>
        <v>86334.81</v>
      </c>
      <c r="M10" s="20"/>
      <c r="N10" s="17" t="n">
        <f aca="false">H10</f>
        <v>86334.81</v>
      </c>
      <c r="O10" s="17" t="n">
        <f aca="false">H10</f>
        <v>86334.81</v>
      </c>
      <c r="P10" s="20"/>
      <c r="Q10" s="20"/>
    </row>
    <row r="11" customFormat="false" ht="15" hidden="false" customHeight="false" outlineLevel="0" collapsed="false">
      <c r="B11" s="21" t="n">
        <v>1</v>
      </c>
      <c r="C11" s="22" t="n">
        <v>2020</v>
      </c>
      <c r="D11" s="21" t="s">
        <v>37</v>
      </c>
      <c r="E11" s="23"/>
      <c r="F11" s="24" t="n">
        <f aca="false">Reajustes!H4</f>
        <v>719.46</v>
      </c>
      <c r="G11" s="25"/>
      <c r="H11" s="26" t="n">
        <f aca="false">O10-IF(G11="",0,G11)</f>
        <v>86334.81</v>
      </c>
      <c r="I11" s="27" t="n">
        <f aca="false">'Índices IGPM'!C6</f>
        <v>832.313</v>
      </c>
      <c r="J11" s="28" t="n">
        <f aca="false">'Índices IGPM'!D6</f>
        <v>0.0274416325240747</v>
      </c>
      <c r="K11" s="29"/>
      <c r="L11" s="26" t="n">
        <f aca="false">H11</f>
        <v>86334.81</v>
      </c>
      <c r="M11" s="29"/>
      <c r="N11" s="26" t="n">
        <f aca="false">H11</f>
        <v>86334.81</v>
      </c>
      <c r="O11" s="26" t="n">
        <f aca="false">H11</f>
        <v>86334.81</v>
      </c>
      <c r="P11" s="26" t="n">
        <f aca="false">IF(AND(E11&lt;&gt;"",DAY(E11)&gt;10),F11*0.02,0)</f>
        <v>0</v>
      </c>
      <c r="Q11" s="26" t="n">
        <f aca="false">IF(AND(E11&lt;&gt;"",DAY(E11)&gt;10),F11*0.00033*(DAY(E11)-10),0)</f>
        <v>0</v>
      </c>
    </row>
    <row r="12" customFormat="false" ht="15" hidden="false" customHeight="false" outlineLevel="0" collapsed="false">
      <c r="B12" s="30" t="n">
        <v>2</v>
      </c>
      <c r="C12" s="31" t="n">
        <v>2020</v>
      </c>
      <c r="D12" s="30" t="s">
        <v>38</v>
      </c>
      <c r="E12" s="32"/>
      <c r="F12" s="33" t="n">
        <f aca="false">Reajustes!H4</f>
        <v>719.46</v>
      </c>
      <c r="G12" s="25"/>
      <c r="H12" s="34" t="n">
        <f aca="false">O11-IF(G12="",0,G12)</f>
        <v>86334.81</v>
      </c>
      <c r="I12" s="19" t="n">
        <f aca="false">'Índices IGPM'!C7</f>
        <v>868.442</v>
      </c>
      <c r="J12" s="35" t="n">
        <f aca="false">'Índices IGPM'!D7</f>
        <v>0.043407948692379</v>
      </c>
      <c r="K12" s="36"/>
      <c r="L12" s="34" t="n">
        <f aca="false">H12</f>
        <v>86334.81</v>
      </c>
      <c r="M12" s="36"/>
      <c r="N12" s="34" t="n">
        <f aca="false">H12</f>
        <v>86334.81</v>
      </c>
      <c r="O12" s="34" t="n">
        <f aca="false">H12</f>
        <v>86334.81</v>
      </c>
      <c r="P12" s="34" t="n">
        <f aca="false">IF(AND(E12&lt;&gt;"",DAY(E12)&gt;10),F12*0.02,0)</f>
        <v>0</v>
      </c>
      <c r="Q12" s="34" t="n">
        <f aca="false">IF(AND(E12&lt;&gt;"",DAY(E12)&gt;10),F12*0.00033*(DAY(E12)-10),0)</f>
        <v>0</v>
      </c>
    </row>
    <row r="13" customFormat="false" ht="15" hidden="false" customHeight="false" outlineLevel="0" collapsed="false">
      <c r="B13" s="37" t="n">
        <v>3</v>
      </c>
      <c r="C13" s="38" t="n">
        <v>2020</v>
      </c>
      <c r="D13" s="37" t="s">
        <v>39</v>
      </c>
      <c r="E13" s="39"/>
      <c r="F13" s="40" t="n">
        <f aca="false">Reajustes!H4</f>
        <v>719.46</v>
      </c>
      <c r="G13" s="25"/>
      <c r="H13" s="41" t="n">
        <f aca="false">O12-IF(G13="",0,G13)</f>
        <v>86334.81</v>
      </c>
      <c r="I13" s="42" t="n">
        <f aca="false">'Índices IGPM'!C8</f>
        <v>896.505</v>
      </c>
      <c r="J13" s="43" t="n">
        <f aca="false">'Índices IGPM'!D8</f>
        <v>0.0323141902395324</v>
      </c>
      <c r="K13" s="44"/>
      <c r="L13" s="41" t="n">
        <f aca="false">H13</f>
        <v>86334.81</v>
      </c>
      <c r="M13" s="44"/>
      <c r="N13" s="41" t="n">
        <f aca="false">H13</f>
        <v>86334.81</v>
      </c>
      <c r="O13" s="41" t="n">
        <f aca="false">H13</f>
        <v>86334.81</v>
      </c>
      <c r="P13" s="41" t="n">
        <f aca="false">IF(AND(E13&lt;&gt;"",DAY(E13)&gt;10),F13*0.02,0)</f>
        <v>0</v>
      </c>
      <c r="Q13" s="41" t="n">
        <f aca="false">IF(AND(E13&lt;&gt;"",DAY(E13)&gt;10),F13*0.00033*(DAY(E13)-10),0)</f>
        <v>0</v>
      </c>
    </row>
    <row r="14" customFormat="false" ht="15" hidden="false" customHeight="false" outlineLevel="0" collapsed="false">
      <c r="B14" s="30" t="n">
        <v>4</v>
      </c>
      <c r="C14" s="31" t="n">
        <v>2020</v>
      </c>
      <c r="D14" s="30" t="s">
        <v>40</v>
      </c>
      <c r="E14" s="32"/>
      <c r="F14" s="33" t="n">
        <f aca="false">Reajustes!H4</f>
        <v>719.46</v>
      </c>
      <c r="G14" s="25"/>
      <c r="H14" s="34" t="n">
        <f aca="false">O13-IF(G14="",0,G14)</f>
        <v>86334.81</v>
      </c>
      <c r="I14" s="19" t="n">
        <f aca="false">'Índices IGPM'!C9</f>
        <v>925.887</v>
      </c>
      <c r="J14" s="35" t="n">
        <f aca="false">'Índices IGPM'!D9</f>
        <v>0.0327739387956564</v>
      </c>
      <c r="K14" s="36"/>
      <c r="L14" s="34" t="n">
        <f aca="false">H14</f>
        <v>86334.81</v>
      </c>
      <c r="M14" s="36"/>
      <c r="N14" s="34" t="n">
        <f aca="false">H14</f>
        <v>86334.81</v>
      </c>
      <c r="O14" s="34" t="n">
        <f aca="false">H14</f>
        <v>86334.81</v>
      </c>
      <c r="P14" s="34" t="n">
        <f aca="false">IF(AND(E14&lt;&gt;"",DAY(E14)&gt;10),F14*0.02,0)</f>
        <v>0</v>
      </c>
      <c r="Q14" s="34" t="n">
        <f aca="false">IF(AND(E14&lt;&gt;"",DAY(E14)&gt;10),F14*0.00033*(DAY(E14)-10),0)</f>
        <v>0</v>
      </c>
    </row>
    <row r="15" customFormat="false" ht="15" hidden="false" customHeight="false" outlineLevel="0" collapsed="false">
      <c r="B15" s="37" t="n">
        <v>5</v>
      </c>
      <c r="C15" s="38" t="n">
        <v>2020</v>
      </c>
      <c r="D15" s="37" t="s">
        <v>41</v>
      </c>
      <c r="E15" s="39"/>
      <c r="F15" s="40" t="n">
        <f aca="false">Reajustes!H4</f>
        <v>719.46</v>
      </c>
      <c r="G15" s="25"/>
      <c r="H15" s="41" t="n">
        <f aca="false">O14-IF(G15="",0,G15)</f>
        <v>86334.81</v>
      </c>
      <c r="I15" s="42" t="n">
        <f aca="false">'Índices IGPM'!C10</f>
        <v>934.758</v>
      </c>
      <c r="J15" s="43" t="n">
        <f aca="false">'Índices IGPM'!D10</f>
        <v>0.00958108278872054</v>
      </c>
      <c r="K15" s="44"/>
      <c r="L15" s="41" t="n">
        <f aca="false">H15</f>
        <v>86334.81</v>
      </c>
      <c r="M15" s="44"/>
      <c r="N15" s="41" t="n">
        <f aca="false">H15</f>
        <v>86334.81</v>
      </c>
      <c r="O15" s="41" t="n">
        <f aca="false">H15</f>
        <v>86334.81</v>
      </c>
      <c r="P15" s="41" t="n">
        <f aca="false">IF(AND(E15&lt;&gt;"",DAY(E15)&gt;10),F15*0.02,0)</f>
        <v>0</v>
      </c>
      <c r="Q15" s="41" t="n">
        <f aca="false">IF(AND(E15&lt;&gt;"",DAY(E15)&gt;10),F15*0.00033*(DAY(E15)-10),0)</f>
        <v>0</v>
      </c>
    </row>
    <row r="16" customFormat="false" ht="15" hidden="false" customHeight="false" outlineLevel="0" collapsed="false">
      <c r="B16" s="30" t="n">
        <v>6</v>
      </c>
      <c r="C16" s="31" t="n">
        <v>2021</v>
      </c>
      <c r="D16" s="30" t="s">
        <v>42</v>
      </c>
      <c r="E16" s="32"/>
      <c r="F16" s="33" t="n">
        <f aca="false">Reajustes!H4</f>
        <v>719.46</v>
      </c>
      <c r="G16" s="25"/>
      <c r="H16" s="34" t="n">
        <f aca="false">O15-IF(G16="",0,G16)</f>
        <v>86334.81</v>
      </c>
      <c r="I16" s="19" t="n">
        <f aca="false">'Índices IGPM'!C11</f>
        <v>958.844</v>
      </c>
      <c r="J16" s="35" t="n">
        <f aca="false">'Índices IGPM'!D11</f>
        <v>0.025767096938459</v>
      </c>
      <c r="K16" s="36"/>
      <c r="L16" s="34" t="n">
        <f aca="false">H16</f>
        <v>86334.81</v>
      </c>
      <c r="M16" s="36"/>
      <c r="N16" s="34" t="n">
        <f aca="false">H16</f>
        <v>86334.81</v>
      </c>
      <c r="O16" s="34" t="n">
        <f aca="false">H16</f>
        <v>86334.81</v>
      </c>
      <c r="P16" s="34" t="n">
        <f aca="false">IF(AND(E16&lt;&gt;"",DAY(E16)&gt;10),F16*0.02,0)</f>
        <v>0</v>
      </c>
      <c r="Q16" s="34" t="n">
        <f aca="false">IF(AND(E16&lt;&gt;"",DAY(E16)&gt;10),F16*0.00033*(DAY(E16)-10),0)</f>
        <v>0</v>
      </c>
    </row>
    <row r="17" customFormat="false" ht="15" hidden="false" customHeight="false" outlineLevel="0" collapsed="false">
      <c r="B17" s="37" t="n">
        <v>7</v>
      </c>
      <c r="C17" s="38" t="n">
        <v>2021</v>
      </c>
      <c r="D17" s="37" t="s">
        <v>43</v>
      </c>
      <c r="E17" s="39"/>
      <c r="F17" s="40" t="n">
        <f aca="false">Reajustes!H4</f>
        <v>719.46</v>
      </c>
      <c r="G17" s="25"/>
      <c r="H17" s="41" t="n">
        <f aca="false">O16-IF(G17="",0,G17)</f>
        <v>86334.81</v>
      </c>
      <c r="I17" s="42" t="n">
        <f aca="false">'Índices IGPM'!C12</f>
        <v>983.063</v>
      </c>
      <c r="J17" s="43" t="n">
        <f aca="false">'Índices IGPM'!D12</f>
        <v>0.0252585404925097</v>
      </c>
      <c r="K17" s="44"/>
      <c r="L17" s="41" t="n">
        <f aca="false">H17</f>
        <v>86334.81</v>
      </c>
      <c r="M17" s="44"/>
      <c r="N17" s="41" t="n">
        <f aca="false">H17</f>
        <v>86334.81</v>
      </c>
      <c r="O17" s="41" t="n">
        <f aca="false">H17</f>
        <v>86334.81</v>
      </c>
      <c r="P17" s="41" t="n">
        <f aca="false">IF(AND(E17&lt;&gt;"",DAY(E17)&gt;10),F17*0.02,0)</f>
        <v>0</v>
      </c>
      <c r="Q17" s="41" t="n">
        <f aca="false">IF(AND(E17&lt;&gt;"",DAY(E17)&gt;10),F17*0.00033*(DAY(E17)-10),0)</f>
        <v>0</v>
      </c>
    </row>
    <row r="18" customFormat="false" ht="15" hidden="false" customHeight="false" outlineLevel="0" collapsed="false">
      <c r="B18" s="30" t="n">
        <v>8</v>
      </c>
      <c r="C18" s="31" t="n">
        <v>2021</v>
      </c>
      <c r="D18" s="30" t="s">
        <v>44</v>
      </c>
      <c r="E18" s="32"/>
      <c r="F18" s="33" t="n">
        <f aca="false">Reajustes!H4</f>
        <v>719.46</v>
      </c>
      <c r="G18" s="25"/>
      <c r="H18" s="34" t="n">
        <f aca="false">O17-IF(G18="",0,G18)</f>
        <v>86334.81</v>
      </c>
      <c r="I18" s="19" t="n">
        <f aca="false">'Índices IGPM'!C13</f>
        <v>1011.948</v>
      </c>
      <c r="J18" s="35" t="n">
        <f aca="false">'Índices IGPM'!D13</f>
        <v>0.029382654010984</v>
      </c>
      <c r="K18" s="36"/>
      <c r="L18" s="34" t="n">
        <f aca="false">H18</f>
        <v>86334.81</v>
      </c>
      <c r="M18" s="36"/>
      <c r="N18" s="34" t="n">
        <f aca="false">H18</f>
        <v>86334.81</v>
      </c>
      <c r="O18" s="34" t="n">
        <f aca="false">H18</f>
        <v>86334.81</v>
      </c>
      <c r="P18" s="34" t="n">
        <f aca="false">IF(AND(E18&lt;&gt;"",DAY(E18)&gt;10),F18*0.02,0)</f>
        <v>0</v>
      </c>
      <c r="Q18" s="34" t="n">
        <f aca="false">IF(AND(E18&lt;&gt;"",DAY(E18)&gt;10),F18*0.00033*(DAY(E18)-10),0)</f>
        <v>0</v>
      </c>
    </row>
    <row r="19" customFormat="false" ht="15" hidden="false" customHeight="false" outlineLevel="0" collapsed="false">
      <c r="B19" s="37" t="n">
        <v>9</v>
      </c>
      <c r="C19" s="38" t="n">
        <v>2021</v>
      </c>
      <c r="D19" s="37" t="s">
        <v>45</v>
      </c>
      <c r="E19" s="39"/>
      <c r="F19" s="40" t="n">
        <f aca="false">Reajustes!H4</f>
        <v>719.46</v>
      </c>
      <c r="G19" s="25"/>
      <c r="H19" s="41" t="n">
        <f aca="false">O18-IF(G19="",0,G19)</f>
        <v>86334.81</v>
      </c>
      <c r="I19" s="42" t="n">
        <f aca="false">'Índices IGPM'!C14</f>
        <v>1027.211</v>
      </c>
      <c r="J19" s="43" t="n">
        <f aca="false">'Índices IGPM'!D14</f>
        <v>0.0150827908153384</v>
      </c>
      <c r="K19" s="44"/>
      <c r="L19" s="41" t="n">
        <f aca="false">H19</f>
        <v>86334.81</v>
      </c>
      <c r="M19" s="44"/>
      <c r="N19" s="41" t="n">
        <f aca="false">H19</f>
        <v>86334.81</v>
      </c>
      <c r="O19" s="41" t="n">
        <f aca="false">H19</f>
        <v>86334.81</v>
      </c>
      <c r="P19" s="41" t="n">
        <f aca="false">IF(AND(E19&lt;&gt;"",DAY(E19)&gt;10),F19*0.02,0)</f>
        <v>0</v>
      </c>
      <c r="Q19" s="41" t="n">
        <f aca="false">IF(AND(E19&lt;&gt;"",DAY(E19)&gt;10),F19*0.00033*(DAY(E19)-10),0)</f>
        <v>0</v>
      </c>
    </row>
    <row r="20" customFormat="false" ht="15" hidden="false" customHeight="false" outlineLevel="0" collapsed="false">
      <c r="B20" s="30" t="n">
        <v>10</v>
      </c>
      <c r="C20" s="31" t="n">
        <v>2021</v>
      </c>
      <c r="D20" s="30" t="s">
        <v>46</v>
      </c>
      <c r="E20" s="32"/>
      <c r="F20" s="33" t="n">
        <f aca="false">Reajustes!H4</f>
        <v>719.46</v>
      </c>
      <c r="G20" s="25"/>
      <c r="H20" s="34" t="n">
        <f aca="false">O19-IF(G20="",0,G20)</f>
        <v>86334.81</v>
      </c>
      <c r="I20" s="19" t="n">
        <f aca="false">'Índices IGPM'!C15</f>
        <v>1069.289</v>
      </c>
      <c r="J20" s="35" t="n">
        <f aca="false">'Índices IGPM'!D15</f>
        <v>0.04096334638161</v>
      </c>
      <c r="K20" s="36"/>
      <c r="L20" s="34" t="n">
        <f aca="false">H20</f>
        <v>86334.81</v>
      </c>
      <c r="M20" s="36"/>
      <c r="N20" s="34" t="n">
        <f aca="false">H20</f>
        <v>86334.81</v>
      </c>
      <c r="O20" s="34" t="n">
        <f aca="false">H20</f>
        <v>86334.81</v>
      </c>
      <c r="P20" s="34" t="n">
        <f aca="false">IF(AND(E20&lt;&gt;"",DAY(E20)&gt;10),F20*0.02,0)</f>
        <v>0</v>
      </c>
      <c r="Q20" s="34" t="n">
        <f aca="false">IF(AND(E20&lt;&gt;"",DAY(E20)&gt;10),F20*0.00033*(DAY(E20)-10),0)</f>
        <v>0</v>
      </c>
    </row>
    <row r="21" customFormat="false" ht="15" hidden="false" customHeight="false" outlineLevel="0" collapsed="false">
      <c r="B21" s="37" t="n">
        <v>11</v>
      </c>
      <c r="C21" s="38" t="n">
        <v>2021</v>
      </c>
      <c r="D21" s="37" t="s">
        <v>47</v>
      </c>
      <c r="E21" s="39"/>
      <c r="F21" s="40" t="n">
        <f aca="false">Reajustes!H4</f>
        <v>719.46</v>
      </c>
      <c r="G21" s="25"/>
      <c r="H21" s="41" t="n">
        <f aca="false">O20-IF(G21="",0,G21)</f>
        <v>86334.81</v>
      </c>
      <c r="I21" s="42" t="n">
        <f aca="false">'Índices IGPM'!C16</f>
        <v>1075.733</v>
      </c>
      <c r="J21" s="43" t="n">
        <f aca="false">'Índices IGPM'!D16</f>
        <v>0.00602643438770993</v>
      </c>
      <c r="K21" s="44"/>
      <c r="L21" s="41" t="n">
        <f aca="false">H21</f>
        <v>86334.81</v>
      </c>
      <c r="M21" s="44"/>
      <c r="N21" s="41" t="n">
        <f aca="false">H21</f>
        <v>86334.81</v>
      </c>
      <c r="O21" s="41" t="n">
        <f aca="false">H21</f>
        <v>86334.81</v>
      </c>
      <c r="P21" s="41" t="n">
        <f aca="false">IF(AND(E21&lt;&gt;"",DAY(E21)&gt;10),F21*0.02,0)</f>
        <v>0</v>
      </c>
      <c r="Q21" s="41" t="n">
        <f aca="false">IF(AND(E21&lt;&gt;"",DAY(E21)&gt;10),F21*0.00033*(DAY(E21)-10),0)</f>
        <v>0</v>
      </c>
    </row>
    <row r="22" customFormat="false" ht="15" hidden="false" customHeight="false" outlineLevel="0" collapsed="false">
      <c r="B22" s="45" t="n">
        <v>12</v>
      </c>
      <c r="C22" s="46" t="n">
        <v>2021</v>
      </c>
      <c r="D22" s="45" t="s">
        <v>36</v>
      </c>
      <c r="E22" s="47"/>
      <c r="F22" s="48" t="n">
        <f aca="false">Reajustes!H4</f>
        <v>719.46</v>
      </c>
      <c r="G22" s="25"/>
      <c r="H22" s="49" t="n">
        <f aca="false">O21-IF(G22="",0,G22)</f>
        <v>86334.81</v>
      </c>
      <c r="I22" s="50" t="n">
        <f aca="false">'Índices IGPM'!C17</f>
        <v>1084.095</v>
      </c>
      <c r="J22" s="51" t="n">
        <f aca="false">'Índices IGPM'!D17</f>
        <v>0.00777330434224857</v>
      </c>
      <c r="K22" s="51" t="n">
        <f aca="false">Reajustes!F4</f>
        <v>0.338251759387618</v>
      </c>
      <c r="L22" s="49" t="n">
        <f aca="false">IF(K22=0,H22,H22*(1+K22))</f>
        <v>115537.711378896</v>
      </c>
      <c r="M22" s="51" t="n">
        <f aca="false">Reajustes!E5</f>
        <v>0.0744241677219248</v>
      </c>
      <c r="N22" s="49" t="n">
        <f aca="false">L22*(1+M22)</f>
        <v>124136.509388766</v>
      </c>
      <c r="O22" s="52" t="n">
        <f aca="false">N22</f>
        <v>124136.509388766</v>
      </c>
      <c r="P22" s="49" t="n">
        <f aca="false">IF(AND(E22&lt;&gt;"",DAY(E22)&gt;10),F22*0.02,0)</f>
        <v>0</v>
      </c>
      <c r="Q22" s="49" t="n">
        <f aca="false">IF(AND(E22&lt;&gt;"",DAY(E22)&gt;10),F22*0.00033*(DAY(E22)-10),0)</f>
        <v>0</v>
      </c>
    </row>
    <row r="23" customFormat="false" ht="15" hidden="false" customHeight="false" outlineLevel="0" collapsed="false">
      <c r="B23" s="21" t="n">
        <v>13</v>
      </c>
      <c r="C23" s="22" t="n">
        <v>2021</v>
      </c>
      <c r="D23" s="21" t="s">
        <v>37</v>
      </c>
      <c r="E23" s="23"/>
      <c r="F23" s="24" t="n">
        <f aca="false">Reajustes!H5</f>
        <v>1034.47558458566</v>
      </c>
      <c r="G23" s="25"/>
      <c r="H23" s="26" t="n">
        <f aca="false">O22-IF(G23="",0,G23)</f>
        <v>124136.509388766</v>
      </c>
      <c r="I23" s="27" t="n">
        <f aca="false">'Índices IGPM'!C18</f>
        <v>1091.29</v>
      </c>
      <c r="J23" s="28" t="n">
        <f aca="false">'Índices IGPM'!D18</f>
        <v>0.0066368722298322</v>
      </c>
      <c r="K23" s="29"/>
      <c r="L23" s="26" t="n">
        <f aca="false">H23</f>
        <v>124136.509388766</v>
      </c>
      <c r="M23" s="29"/>
      <c r="N23" s="26" t="n">
        <f aca="false">H23</f>
        <v>124136.509388766</v>
      </c>
      <c r="O23" s="26" t="n">
        <f aca="false">H23</f>
        <v>124136.509388766</v>
      </c>
      <c r="P23" s="26" t="n">
        <f aca="false">IF(AND(E23&lt;&gt;"",DAY(E23)&gt;10),F23*0.02,0)</f>
        <v>0</v>
      </c>
      <c r="Q23" s="26" t="n">
        <f aca="false">IF(AND(E23&lt;&gt;"",DAY(E23)&gt;10),F23*0.00033*(DAY(E23)-10),0)</f>
        <v>0</v>
      </c>
    </row>
    <row r="24" customFormat="false" ht="15" hidden="false" customHeight="false" outlineLevel="0" collapsed="false">
      <c r="B24" s="30" t="n">
        <v>14</v>
      </c>
      <c r="C24" s="31" t="n">
        <v>2021</v>
      </c>
      <c r="D24" s="30" t="s">
        <v>38</v>
      </c>
      <c r="E24" s="32"/>
      <c r="F24" s="33" t="n">
        <f aca="false">Reajustes!H5</f>
        <v>1034.47558458566</v>
      </c>
      <c r="G24" s="25"/>
      <c r="H24" s="34" t="n">
        <f aca="false">O23-IF(G24="",0,G24)</f>
        <v>124136.509388766</v>
      </c>
      <c r="I24" s="19" t="n">
        <f aca="false">'Índices IGPM'!C19</f>
        <v>1084.312</v>
      </c>
      <c r="J24" s="35" t="n">
        <f aca="false">'Índices IGPM'!D19</f>
        <v>-0.00639426733498893</v>
      </c>
      <c r="K24" s="36"/>
      <c r="L24" s="34" t="n">
        <f aca="false">H24</f>
        <v>124136.509388766</v>
      </c>
      <c r="M24" s="36"/>
      <c r="N24" s="34" t="n">
        <f aca="false">H24</f>
        <v>124136.509388766</v>
      </c>
      <c r="O24" s="34" t="n">
        <f aca="false">H24</f>
        <v>124136.509388766</v>
      </c>
      <c r="P24" s="34" t="n">
        <f aca="false">IF(AND(E24&lt;&gt;"",DAY(E24)&gt;10),F24*0.02,0)</f>
        <v>0</v>
      </c>
      <c r="Q24" s="34" t="n">
        <f aca="false">IF(AND(E24&lt;&gt;"",DAY(E24)&gt;10),F24*0.00033*(DAY(E24)-10),0)</f>
        <v>0</v>
      </c>
    </row>
    <row r="25" customFormat="false" ht="15" hidden="false" customHeight="false" outlineLevel="0" collapsed="false">
      <c r="B25" s="37" t="n">
        <v>15</v>
      </c>
      <c r="C25" s="38" t="n">
        <v>2021</v>
      </c>
      <c r="D25" s="37" t="s">
        <v>39</v>
      </c>
      <c r="E25" s="39"/>
      <c r="F25" s="40" t="n">
        <f aca="false">Reajustes!H5</f>
        <v>1034.47558458566</v>
      </c>
      <c r="G25" s="25"/>
      <c r="H25" s="41" t="n">
        <f aca="false">O24-IF(G25="",0,G25)</f>
        <v>124136.509388766</v>
      </c>
      <c r="I25" s="42" t="n">
        <f aca="false">'Índices IGPM'!C20</f>
        <v>1091.283</v>
      </c>
      <c r="J25" s="43" t="n">
        <f aca="false">'Índices IGPM'!D20</f>
        <v>0.00642896140594221</v>
      </c>
      <c r="K25" s="44"/>
      <c r="L25" s="41" t="n">
        <f aca="false">H25</f>
        <v>124136.509388766</v>
      </c>
      <c r="M25" s="44"/>
      <c r="N25" s="41" t="n">
        <f aca="false">H25</f>
        <v>124136.509388766</v>
      </c>
      <c r="O25" s="41" t="n">
        <f aca="false">H25</f>
        <v>124136.509388766</v>
      </c>
      <c r="P25" s="41" t="n">
        <f aca="false">IF(AND(E25&lt;&gt;"",DAY(E25)&gt;10),F25*0.02,0)</f>
        <v>0</v>
      </c>
      <c r="Q25" s="41" t="n">
        <f aca="false">IF(AND(E25&lt;&gt;"",DAY(E25)&gt;10),F25*0.00033*(DAY(E25)-10),0)</f>
        <v>0</v>
      </c>
    </row>
    <row r="26" customFormat="false" ht="15" hidden="false" customHeight="false" outlineLevel="0" collapsed="false">
      <c r="B26" s="30" t="n">
        <v>16</v>
      </c>
      <c r="C26" s="31" t="n">
        <v>2021</v>
      </c>
      <c r="D26" s="30" t="s">
        <v>40</v>
      </c>
      <c r="E26" s="32"/>
      <c r="F26" s="33" t="n">
        <f aca="false">Reajustes!H5</f>
        <v>1034.47558458566</v>
      </c>
      <c r="G26" s="25"/>
      <c r="H26" s="34" t="n">
        <f aca="false">O25-IF(G26="",0,G26)</f>
        <v>124136.509388766</v>
      </c>
      <c r="I26" s="19" t="n">
        <f aca="false">'Índices IGPM'!C21</f>
        <v>1091.483</v>
      </c>
      <c r="J26" s="35" t="n">
        <f aca="false">'Índices IGPM'!D21</f>
        <v>0.000183270517363549</v>
      </c>
      <c r="K26" s="36"/>
      <c r="L26" s="34" t="n">
        <f aca="false">H26</f>
        <v>124136.509388766</v>
      </c>
      <c r="M26" s="36"/>
      <c r="N26" s="34" t="n">
        <f aca="false">H26</f>
        <v>124136.509388766</v>
      </c>
      <c r="O26" s="34" t="n">
        <f aca="false">H26</f>
        <v>124136.509388766</v>
      </c>
      <c r="P26" s="34" t="n">
        <f aca="false">IF(AND(E26&lt;&gt;"",DAY(E26)&gt;10),F26*0.02,0)</f>
        <v>0</v>
      </c>
      <c r="Q26" s="34" t="n">
        <f aca="false">IF(AND(E26&lt;&gt;"",DAY(E26)&gt;10),F26*0.00033*(DAY(E26)-10),0)</f>
        <v>0</v>
      </c>
    </row>
    <row r="27" customFormat="false" ht="15" hidden="false" customHeight="false" outlineLevel="0" collapsed="false">
      <c r="B27" s="37" t="n">
        <v>17</v>
      </c>
      <c r="C27" s="38" t="n">
        <v>2021</v>
      </c>
      <c r="D27" s="37" t="s">
        <v>41</v>
      </c>
      <c r="E27" s="39"/>
      <c r="F27" s="40" t="n">
        <f aca="false">Reajustes!H5</f>
        <v>1034.47558458566</v>
      </c>
      <c r="G27" s="25"/>
      <c r="H27" s="41" t="n">
        <f aca="false">O26-IF(G27="",0,G27)</f>
        <v>124136.509388766</v>
      </c>
      <c r="I27" s="42" t="n">
        <f aca="false">'Índices IGPM'!C22</f>
        <v>1100.988</v>
      </c>
      <c r="J27" s="43" t="n">
        <f aca="false">'Índices IGPM'!D22</f>
        <v>0.0087083353565746</v>
      </c>
      <c r="K27" s="44"/>
      <c r="L27" s="41" t="n">
        <f aca="false">H27</f>
        <v>124136.509388766</v>
      </c>
      <c r="M27" s="44"/>
      <c r="N27" s="41" t="n">
        <f aca="false">H27</f>
        <v>124136.509388766</v>
      </c>
      <c r="O27" s="41" t="n">
        <f aca="false">H27</f>
        <v>124136.509388766</v>
      </c>
      <c r="P27" s="41" t="n">
        <f aca="false">IF(AND(E27&lt;&gt;"",DAY(E27)&gt;10),F27*0.02,0)</f>
        <v>0</v>
      </c>
      <c r="Q27" s="41" t="n">
        <f aca="false">IF(AND(E27&lt;&gt;"",DAY(E27)&gt;10),F27*0.00033*(DAY(E27)-10),0)</f>
        <v>0</v>
      </c>
    </row>
    <row r="28" customFormat="false" ht="15" hidden="false" customHeight="false" outlineLevel="0" collapsed="false">
      <c r="B28" s="30" t="n">
        <v>18</v>
      </c>
      <c r="C28" s="31" t="n">
        <v>2022</v>
      </c>
      <c r="D28" s="30" t="s">
        <v>42</v>
      </c>
      <c r="E28" s="32"/>
      <c r="F28" s="33" t="n">
        <f aca="false">Reajustes!H5</f>
        <v>1034.47558458566</v>
      </c>
      <c r="G28" s="25"/>
      <c r="H28" s="34" t="n">
        <f aca="false">O27-IF(G28="",0,G28)</f>
        <v>124136.509388766</v>
      </c>
      <c r="I28" s="19" t="n">
        <f aca="false">'Índices IGPM'!C23</f>
        <v>1120.999</v>
      </c>
      <c r="J28" s="35" t="n">
        <f aca="false">'Índices IGPM'!D23</f>
        <v>0.0181754932842138</v>
      </c>
      <c r="K28" s="36"/>
      <c r="L28" s="34" t="n">
        <f aca="false">H28</f>
        <v>124136.509388766</v>
      </c>
      <c r="M28" s="36"/>
      <c r="N28" s="34" t="n">
        <f aca="false">H28</f>
        <v>124136.509388766</v>
      </c>
      <c r="O28" s="34" t="n">
        <f aca="false">H28</f>
        <v>124136.509388766</v>
      </c>
      <c r="P28" s="34" t="n">
        <f aca="false">IF(AND(E28&lt;&gt;"",DAY(E28)&gt;10),F28*0.02,0)</f>
        <v>0</v>
      </c>
      <c r="Q28" s="34" t="n">
        <f aca="false">IF(AND(E28&lt;&gt;"",DAY(E28)&gt;10),F28*0.00033*(DAY(E28)-10),0)</f>
        <v>0</v>
      </c>
    </row>
    <row r="29" customFormat="false" ht="15" hidden="false" customHeight="false" outlineLevel="0" collapsed="false">
      <c r="B29" s="37" t="n">
        <v>19</v>
      </c>
      <c r="C29" s="38" t="n">
        <v>2022</v>
      </c>
      <c r="D29" s="37" t="s">
        <v>43</v>
      </c>
      <c r="E29" s="39"/>
      <c r="F29" s="40" t="n">
        <f aca="false">Reajustes!H5</f>
        <v>1034.47558458566</v>
      </c>
      <c r="G29" s="25"/>
      <c r="H29" s="41" t="n">
        <f aca="false">O28-IF(G29="",0,G29)</f>
        <v>124136.509388766</v>
      </c>
      <c r="I29" s="42" t="n">
        <f aca="false">'Índices IGPM'!C24</f>
        <v>1141.546</v>
      </c>
      <c r="J29" s="43" t="n">
        <f aca="false">'Índices IGPM'!D24</f>
        <v>0.0183291867343325</v>
      </c>
      <c r="K29" s="44"/>
      <c r="L29" s="41" t="n">
        <f aca="false">H29</f>
        <v>124136.509388766</v>
      </c>
      <c r="M29" s="44"/>
      <c r="N29" s="41" t="n">
        <f aca="false">H29</f>
        <v>124136.509388766</v>
      </c>
      <c r="O29" s="41" t="n">
        <f aca="false">H29</f>
        <v>124136.509388766</v>
      </c>
      <c r="P29" s="41" t="n">
        <f aca="false">IF(AND(E29&lt;&gt;"",DAY(E29)&gt;10),F29*0.02,0)</f>
        <v>0</v>
      </c>
      <c r="Q29" s="41" t="n">
        <f aca="false">IF(AND(E29&lt;&gt;"",DAY(E29)&gt;10),F29*0.00033*(DAY(E29)-10),0)</f>
        <v>0</v>
      </c>
    </row>
    <row r="30" customFormat="false" ht="15" hidden="false" customHeight="false" outlineLevel="0" collapsed="false">
      <c r="B30" s="30" t="n">
        <v>20</v>
      </c>
      <c r="C30" s="31" t="n">
        <v>2022</v>
      </c>
      <c r="D30" s="30" t="s">
        <v>44</v>
      </c>
      <c r="E30" s="32"/>
      <c r="F30" s="33" t="n">
        <f aca="false">Reajustes!H5</f>
        <v>1034.47558458566</v>
      </c>
      <c r="G30" s="25"/>
      <c r="H30" s="34" t="n">
        <f aca="false">O29-IF(G30="",0,G30)</f>
        <v>124136.509388766</v>
      </c>
      <c r="I30" s="19" t="n">
        <f aca="false">'Índices IGPM'!C25</f>
        <v>1161.418</v>
      </c>
      <c r="J30" s="35" t="n">
        <f aca="false">'Índices IGPM'!D25</f>
        <v>0.0174079712950681</v>
      </c>
      <c r="K30" s="36"/>
      <c r="L30" s="34" t="n">
        <f aca="false">H30</f>
        <v>124136.509388766</v>
      </c>
      <c r="M30" s="36"/>
      <c r="N30" s="34" t="n">
        <f aca="false">H30</f>
        <v>124136.509388766</v>
      </c>
      <c r="O30" s="34" t="n">
        <f aca="false">H30</f>
        <v>124136.509388766</v>
      </c>
      <c r="P30" s="34" t="n">
        <f aca="false">IF(AND(E30&lt;&gt;"",DAY(E30)&gt;10),F30*0.02,0)</f>
        <v>0</v>
      </c>
      <c r="Q30" s="34" t="n">
        <f aca="false">IF(AND(E30&lt;&gt;"",DAY(E30)&gt;10),F30*0.00033*(DAY(E30)-10),0)</f>
        <v>0</v>
      </c>
    </row>
    <row r="31" customFormat="false" ht="15" hidden="false" customHeight="false" outlineLevel="0" collapsed="false">
      <c r="B31" s="37" t="n">
        <v>21</v>
      </c>
      <c r="C31" s="38" t="n">
        <v>2022</v>
      </c>
      <c r="D31" s="37" t="s">
        <v>45</v>
      </c>
      <c r="E31" s="39"/>
      <c r="F31" s="40" t="n">
        <f aca="false">Reajustes!H5</f>
        <v>1034.47558458566</v>
      </c>
      <c r="G31" s="25"/>
      <c r="H31" s="41" t="n">
        <f aca="false">O30-IF(G31="",0,G31)</f>
        <v>124136.509388766</v>
      </c>
      <c r="I31" s="42" t="n">
        <f aca="false">'Índices IGPM'!C26</f>
        <v>1177.809</v>
      </c>
      <c r="J31" s="43" t="n">
        <f aca="false">'Índices IGPM'!D26</f>
        <v>0.0141129205850091</v>
      </c>
      <c r="K31" s="44"/>
      <c r="L31" s="41" t="n">
        <f aca="false">H31</f>
        <v>124136.509388766</v>
      </c>
      <c r="M31" s="44"/>
      <c r="N31" s="41" t="n">
        <f aca="false">H31</f>
        <v>124136.509388766</v>
      </c>
      <c r="O31" s="41" t="n">
        <f aca="false">H31</f>
        <v>124136.509388766</v>
      </c>
      <c r="P31" s="41" t="n">
        <f aca="false">IF(AND(E31&lt;&gt;"",DAY(E31)&gt;10),F31*0.02,0)</f>
        <v>0</v>
      </c>
      <c r="Q31" s="41" t="n">
        <f aca="false">IF(AND(E31&lt;&gt;"",DAY(E31)&gt;10),F31*0.00033*(DAY(E31)-10),0)</f>
        <v>0</v>
      </c>
    </row>
    <row r="32" customFormat="false" ht="15" hidden="false" customHeight="false" outlineLevel="0" collapsed="false">
      <c r="B32" s="30" t="n">
        <v>22</v>
      </c>
      <c r="C32" s="31" t="n">
        <v>2022</v>
      </c>
      <c r="D32" s="30" t="s">
        <v>46</v>
      </c>
      <c r="E32" s="32"/>
      <c r="F32" s="33" t="n">
        <f aca="false">Reajustes!H5</f>
        <v>1034.47558458566</v>
      </c>
      <c r="G32" s="25"/>
      <c r="H32" s="34" t="n">
        <f aca="false">O31-IF(G32="",0,G32)</f>
        <v>124136.509388766</v>
      </c>
      <c r="I32" s="19" t="n">
        <f aca="false">'Índices IGPM'!C27</f>
        <v>1183.953</v>
      </c>
      <c r="J32" s="35" t="n">
        <f aca="false">'Índices IGPM'!D27</f>
        <v>0.00521646548803754</v>
      </c>
      <c r="K32" s="36"/>
      <c r="L32" s="34" t="n">
        <f aca="false">H32</f>
        <v>124136.509388766</v>
      </c>
      <c r="M32" s="36"/>
      <c r="N32" s="34" t="n">
        <f aca="false">H32</f>
        <v>124136.509388766</v>
      </c>
      <c r="O32" s="34" t="n">
        <f aca="false">H32</f>
        <v>124136.509388766</v>
      </c>
      <c r="P32" s="34" t="n">
        <f aca="false">IF(AND(E32&lt;&gt;"",DAY(E32)&gt;10),F32*0.02,0)</f>
        <v>0</v>
      </c>
      <c r="Q32" s="34" t="n">
        <f aca="false">IF(AND(E32&lt;&gt;"",DAY(E32)&gt;10),F32*0.00033*(DAY(E32)-10),0)</f>
        <v>0</v>
      </c>
    </row>
    <row r="33" customFormat="false" ht="15" hidden="false" customHeight="false" outlineLevel="0" collapsed="false">
      <c r="B33" s="37" t="n">
        <v>23</v>
      </c>
      <c r="C33" s="38" t="n">
        <v>2022</v>
      </c>
      <c r="D33" s="37" t="s">
        <v>47</v>
      </c>
      <c r="E33" s="39"/>
      <c r="F33" s="40" t="n">
        <f aca="false">Reajustes!H5</f>
        <v>1034.47558458566</v>
      </c>
      <c r="G33" s="25"/>
      <c r="H33" s="41" t="n">
        <f aca="false">O32-IF(G33="",0,G33)</f>
        <v>124136.509388766</v>
      </c>
      <c r="I33" s="42" t="n">
        <f aca="false">'Índices IGPM'!C28</f>
        <v>1190.882</v>
      </c>
      <c r="J33" s="43" t="n">
        <f aca="false">'Índices IGPM'!D28</f>
        <v>0.00585242826362203</v>
      </c>
      <c r="K33" s="44"/>
      <c r="L33" s="41" t="n">
        <f aca="false">H33</f>
        <v>124136.509388766</v>
      </c>
      <c r="M33" s="44"/>
      <c r="N33" s="41" t="n">
        <f aca="false">H33</f>
        <v>124136.509388766</v>
      </c>
      <c r="O33" s="41" t="n">
        <f aca="false">H33</f>
        <v>124136.509388766</v>
      </c>
      <c r="P33" s="41" t="n">
        <f aca="false">IF(AND(E33&lt;&gt;"",DAY(E33)&gt;10),F33*0.02,0)</f>
        <v>0</v>
      </c>
      <c r="Q33" s="41" t="n">
        <f aca="false">IF(AND(E33&lt;&gt;"",DAY(E33)&gt;10),F33*0.00033*(DAY(E33)-10),0)</f>
        <v>0</v>
      </c>
    </row>
    <row r="34" customFormat="false" ht="15" hidden="false" customHeight="false" outlineLevel="0" collapsed="false">
      <c r="B34" s="45" t="n">
        <v>24</v>
      </c>
      <c r="C34" s="46" t="n">
        <v>2022</v>
      </c>
      <c r="D34" s="45" t="s">
        <v>36</v>
      </c>
      <c r="E34" s="47"/>
      <c r="F34" s="48" t="n">
        <f aca="false">Reajustes!H5</f>
        <v>1034.47558458566</v>
      </c>
      <c r="G34" s="25"/>
      <c r="H34" s="49" t="n">
        <f aca="false">O33-IF(G34="",0,G34)</f>
        <v>124136.509388766</v>
      </c>
      <c r="I34" s="50" t="n">
        <f aca="false">'Índices IGPM'!C29</f>
        <v>1193.337</v>
      </c>
      <c r="J34" s="51" t="n">
        <f aca="false">'Índices IGPM'!D29</f>
        <v>0.00206149727680822</v>
      </c>
      <c r="K34" s="51" t="n">
        <f aca="false">Reajustes!F5</f>
        <v>0.100767921630484</v>
      </c>
      <c r="L34" s="49" t="n">
        <f aca="false">IF(K34=0,H34,H34*(1+K34))</f>
        <v>136645.487438335</v>
      </c>
      <c r="M34" s="51" t="n">
        <f aca="false">Reajustes!E6</f>
        <v>0.0808498103655155</v>
      </c>
      <c r="N34" s="49" t="n">
        <f aca="false">L34*(1+M34)</f>
        <v>147693.249185028</v>
      </c>
      <c r="O34" s="52" t="n">
        <f aca="false">N34</f>
        <v>147693.249185028</v>
      </c>
      <c r="P34" s="49" t="n">
        <f aca="false">IF(AND(E34&lt;&gt;"",DAY(E34)&gt;10),F34*0.02,0)</f>
        <v>0</v>
      </c>
      <c r="Q34" s="49" t="n">
        <f aca="false">IF(AND(E34&lt;&gt;"",DAY(E34)&gt;10),F34*0.00033*(DAY(E34)-10),0)</f>
        <v>0</v>
      </c>
    </row>
    <row r="35" customFormat="false" ht="15" hidden="false" customHeight="false" outlineLevel="0" collapsed="false">
      <c r="B35" s="21" t="n">
        <v>25</v>
      </c>
      <c r="C35" s="22" t="n">
        <v>2022</v>
      </c>
      <c r="D35" s="21" t="s">
        <v>37</v>
      </c>
      <c r="E35" s="23"/>
      <c r="F35" s="24" t="n">
        <f aca="false">Reajustes!H6</f>
        <v>1230.78263632781</v>
      </c>
      <c r="G35" s="25"/>
      <c r="H35" s="26" t="n">
        <f aca="false">O34-IF(G35="",0,G35)</f>
        <v>147693.249185028</v>
      </c>
      <c r="I35" s="27" t="n">
        <f aca="false">'Índices IGPM'!C30</f>
        <v>1185.004</v>
      </c>
      <c r="J35" s="28" t="n">
        <f aca="false">'Índices IGPM'!D30</f>
        <v>-0.00698293943789565</v>
      </c>
      <c r="K35" s="29"/>
      <c r="L35" s="26" t="n">
        <f aca="false">H35</f>
        <v>147693.249185028</v>
      </c>
      <c r="M35" s="29"/>
      <c r="N35" s="26" t="n">
        <f aca="false">H35</f>
        <v>147693.249185028</v>
      </c>
      <c r="O35" s="26" t="n">
        <f aca="false">H35</f>
        <v>147693.249185028</v>
      </c>
      <c r="P35" s="26" t="n">
        <f aca="false">IF(AND(E35&lt;&gt;"",DAY(E35)&gt;10),F35*0.02,0)</f>
        <v>0</v>
      </c>
      <c r="Q35" s="26" t="n">
        <f aca="false">IF(AND(E35&lt;&gt;"",DAY(E35)&gt;10),F35*0.00033*(DAY(E35)-10),0)</f>
        <v>0</v>
      </c>
    </row>
    <row r="36" customFormat="false" ht="15" hidden="false" customHeight="false" outlineLevel="0" collapsed="false">
      <c r="B36" s="30" t="n">
        <v>26</v>
      </c>
      <c r="C36" s="31" t="n">
        <v>2022</v>
      </c>
      <c r="D36" s="30" t="s">
        <v>38</v>
      </c>
      <c r="E36" s="32"/>
      <c r="F36" s="33" t="n">
        <f aca="false">Reajustes!H6</f>
        <v>1230.78263632781</v>
      </c>
      <c r="G36" s="25"/>
      <c r="H36" s="34" t="n">
        <f aca="false">O35-IF(G36="",0,G36)</f>
        <v>147693.249185028</v>
      </c>
      <c r="I36" s="19" t="n">
        <f aca="false">'Índices IGPM'!C31</f>
        <v>1173.793</v>
      </c>
      <c r="J36" s="35" t="n">
        <f aca="false">'Índices IGPM'!D31</f>
        <v>-0.00946072755872555</v>
      </c>
      <c r="K36" s="36"/>
      <c r="L36" s="34" t="n">
        <f aca="false">H36</f>
        <v>147693.249185028</v>
      </c>
      <c r="M36" s="36"/>
      <c r="N36" s="34" t="n">
        <f aca="false">H36</f>
        <v>147693.249185028</v>
      </c>
      <c r="O36" s="34" t="n">
        <f aca="false">H36</f>
        <v>147693.249185028</v>
      </c>
      <c r="P36" s="34" t="n">
        <f aca="false">IF(AND(E36&lt;&gt;"",DAY(E36)&gt;10),F36*0.02,0)</f>
        <v>0</v>
      </c>
      <c r="Q36" s="34" t="n">
        <f aca="false">IF(AND(E36&lt;&gt;"",DAY(E36)&gt;10),F36*0.00033*(DAY(E36)-10),0)</f>
        <v>0</v>
      </c>
    </row>
    <row r="37" customFormat="false" ht="15" hidden="false" customHeight="false" outlineLevel="0" collapsed="false">
      <c r="B37" s="37" t="n">
        <v>27</v>
      </c>
      <c r="C37" s="38" t="n">
        <v>2022</v>
      </c>
      <c r="D37" s="37" t="s">
        <v>39</v>
      </c>
      <c r="E37" s="39"/>
      <c r="F37" s="40" t="n">
        <f aca="false">Reajustes!H6</f>
        <v>1230.78263632781</v>
      </c>
      <c r="G37" s="25"/>
      <c r="H37" s="41" t="n">
        <f aca="false">O36-IF(G37="",0,G37)</f>
        <v>147693.249185028</v>
      </c>
      <c r="I37" s="42" t="n">
        <f aca="false">'Índices IGPM'!C32</f>
        <v>1162.391</v>
      </c>
      <c r="J37" s="43" t="n">
        <f aca="false">'Índices IGPM'!D32</f>
        <v>-0.00971380814163981</v>
      </c>
      <c r="K37" s="44"/>
      <c r="L37" s="41" t="n">
        <f aca="false">H37</f>
        <v>147693.249185028</v>
      </c>
      <c r="M37" s="44"/>
      <c r="N37" s="41" t="n">
        <f aca="false">H37</f>
        <v>147693.249185028</v>
      </c>
      <c r="O37" s="41" t="n">
        <f aca="false">H37</f>
        <v>147693.249185028</v>
      </c>
      <c r="P37" s="41" t="n">
        <f aca="false">IF(AND(E37&lt;&gt;"",DAY(E37)&gt;10),F37*0.02,0)</f>
        <v>0</v>
      </c>
      <c r="Q37" s="41" t="n">
        <f aca="false">IF(AND(E37&lt;&gt;"",DAY(E37)&gt;10),F37*0.00033*(DAY(E37)-10),0)</f>
        <v>0</v>
      </c>
    </row>
    <row r="38" customFormat="false" ht="15" hidden="false" customHeight="false" outlineLevel="0" collapsed="false">
      <c r="B38" s="30" t="n">
        <v>28</v>
      </c>
      <c r="C38" s="31" t="n">
        <v>2022</v>
      </c>
      <c r="D38" s="30" t="s">
        <v>40</v>
      </c>
      <c r="E38" s="32"/>
      <c r="F38" s="33" t="n">
        <f aca="false">Reajustes!H6</f>
        <v>1230.78263632781</v>
      </c>
      <c r="G38" s="25"/>
      <c r="H38" s="34" t="n">
        <f aca="false">O37-IF(G38="",0,G38)</f>
        <v>147693.249185028</v>
      </c>
      <c r="I38" s="19" t="n">
        <f aca="false">'Índices IGPM'!C33</f>
        <v>1155.829</v>
      </c>
      <c r="J38" s="35" t="n">
        <f aca="false">'Índices IGPM'!D33</f>
        <v>-0.00564526050184501</v>
      </c>
      <c r="K38" s="36"/>
      <c r="L38" s="34" t="n">
        <f aca="false">H38</f>
        <v>147693.249185028</v>
      </c>
      <c r="M38" s="36"/>
      <c r="N38" s="34" t="n">
        <f aca="false">H38</f>
        <v>147693.249185028</v>
      </c>
      <c r="O38" s="34" t="n">
        <f aca="false">H38</f>
        <v>147693.249185028</v>
      </c>
      <c r="P38" s="34" t="n">
        <f aca="false">IF(AND(E38&lt;&gt;"",DAY(E38)&gt;10),F38*0.02,0)</f>
        <v>0</v>
      </c>
      <c r="Q38" s="34" t="n">
        <f aca="false">IF(AND(E38&lt;&gt;"",DAY(E38)&gt;10),F38*0.00033*(DAY(E38)-10),0)</f>
        <v>0</v>
      </c>
    </row>
    <row r="39" customFormat="false" ht="15" hidden="false" customHeight="false" outlineLevel="0" collapsed="false">
      <c r="B39" s="37" t="n">
        <v>29</v>
      </c>
      <c r="C39" s="38" t="n">
        <v>2022</v>
      </c>
      <c r="D39" s="37" t="s">
        <v>41</v>
      </c>
      <c r="E39" s="39"/>
      <c r="F39" s="40" t="n">
        <f aca="false">Reajustes!H6</f>
        <v>1230.78263632781</v>
      </c>
      <c r="G39" s="25"/>
      <c r="H39" s="41" t="n">
        <f aca="false">O38-IF(G39="",0,G39)</f>
        <v>147693.249185028</v>
      </c>
      <c r="I39" s="42" t="n">
        <f aca="false">'Índices IGPM'!C34</f>
        <v>1161.006</v>
      </c>
      <c r="J39" s="43" t="n">
        <f aca="false">'Índices IGPM'!D34</f>
        <v>0.00447903625882387</v>
      </c>
      <c r="K39" s="44"/>
      <c r="L39" s="41" t="n">
        <f aca="false">H39</f>
        <v>147693.249185028</v>
      </c>
      <c r="M39" s="44"/>
      <c r="N39" s="41" t="n">
        <f aca="false">H39</f>
        <v>147693.249185028</v>
      </c>
      <c r="O39" s="41" t="n">
        <f aca="false">H39</f>
        <v>147693.249185028</v>
      </c>
      <c r="P39" s="41" t="n">
        <f aca="false">IF(AND(E39&lt;&gt;"",DAY(E39)&gt;10),F39*0.02,0)</f>
        <v>0</v>
      </c>
      <c r="Q39" s="41" t="n">
        <f aca="false">IF(AND(E39&lt;&gt;"",DAY(E39)&gt;10),F39*0.00033*(DAY(E39)-10),0)</f>
        <v>0</v>
      </c>
    </row>
    <row r="40" customFormat="false" ht="15" hidden="false" customHeight="false" outlineLevel="0" collapsed="false">
      <c r="B40" s="30" t="n">
        <v>30</v>
      </c>
      <c r="C40" s="31" t="n">
        <v>2023</v>
      </c>
      <c r="D40" s="30" t="s">
        <v>42</v>
      </c>
      <c r="E40" s="32"/>
      <c r="F40" s="33" t="n">
        <f aca="false">Reajustes!H6</f>
        <v>1230.78263632781</v>
      </c>
      <c r="G40" s="25"/>
      <c r="H40" s="34" t="n">
        <f aca="false">O39-IF(G40="",0,G40)</f>
        <v>147693.249185028</v>
      </c>
      <c r="I40" s="19" t="n">
        <f aca="false">'Índices IGPM'!C35</f>
        <v>1163.465</v>
      </c>
      <c r="J40" s="35" t="n">
        <f aca="false">'Índices IGPM'!D35</f>
        <v>0.00211799077696397</v>
      </c>
      <c r="K40" s="36"/>
      <c r="L40" s="34" t="n">
        <f aca="false">H40</f>
        <v>147693.249185028</v>
      </c>
      <c r="M40" s="36"/>
      <c r="N40" s="34" t="n">
        <f aca="false">H40</f>
        <v>147693.249185028</v>
      </c>
      <c r="O40" s="34" t="n">
        <f aca="false">H40</f>
        <v>147693.249185028</v>
      </c>
      <c r="P40" s="34" t="n">
        <f aca="false">IF(AND(E40&lt;&gt;"",DAY(E40)&gt;10),F40*0.02,0)</f>
        <v>0</v>
      </c>
      <c r="Q40" s="34" t="n">
        <f aca="false">IF(AND(E40&lt;&gt;"",DAY(E40)&gt;10),F40*0.00033*(DAY(E40)-10),0)</f>
        <v>0</v>
      </c>
    </row>
    <row r="41" customFormat="false" ht="15" hidden="false" customHeight="false" outlineLevel="0" collapsed="false">
      <c r="B41" s="37" t="n">
        <v>31</v>
      </c>
      <c r="C41" s="38" t="n">
        <v>2023</v>
      </c>
      <c r="D41" s="37" t="s">
        <v>43</v>
      </c>
      <c r="E41" s="39"/>
      <c r="F41" s="40" t="n">
        <f aca="false">Reajustes!H6</f>
        <v>1230.78263632781</v>
      </c>
      <c r="G41" s="25"/>
      <c r="H41" s="41" t="n">
        <f aca="false">O40-IF(G41="",0,G41)</f>
        <v>147693.249185028</v>
      </c>
      <c r="I41" s="42" t="n">
        <f aca="false">'Índices IGPM'!C36</f>
        <v>1162.761</v>
      </c>
      <c r="J41" s="43" t="n">
        <f aca="false">'Índices IGPM'!D36</f>
        <v>-0.00060508910882575</v>
      </c>
      <c r="K41" s="44"/>
      <c r="L41" s="41" t="n">
        <f aca="false">H41</f>
        <v>147693.249185028</v>
      </c>
      <c r="M41" s="44"/>
      <c r="N41" s="41" t="n">
        <f aca="false">H41</f>
        <v>147693.249185028</v>
      </c>
      <c r="O41" s="41" t="n">
        <f aca="false">H41</f>
        <v>147693.249185028</v>
      </c>
      <c r="P41" s="41" t="n">
        <f aca="false">IF(AND(E41&lt;&gt;"",DAY(E41)&gt;10),F41*0.02,0)</f>
        <v>0</v>
      </c>
      <c r="Q41" s="41" t="n">
        <f aca="false">IF(AND(E41&lt;&gt;"",DAY(E41)&gt;10),F41*0.00033*(DAY(E41)-10),0)</f>
        <v>0</v>
      </c>
    </row>
    <row r="42" customFormat="false" ht="15" hidden="false" customHeight="false" outlineLevel="0" collapsed="false">
      <c r="B42" s="30" t="n">
        <v>32</v>
      </c>
      <c r="C42" s="31" t="n">
        <v>2023</v>
      </c>
      <c r="D42" s="30" t="s">
        <v>44</v>
      </c>
      <c r="E42" s="32"/>
      <c r="F42" s="33" t="n">
        <f aca="false">Reajustes!H6</f>
        <v>1230.78263632781</v>
      </c>
      <c r="G42" s="25"/>
      <c r="H42" s="34" t="n">
        <f aca="false">O41-IF(G42="",0,G42)</f>
        <v>147693.249185028</v>
      </c>
      <c r="I42" s="19" t="n">
        <f aca="false">'Índices IGPM'!C37</f>
        <v>1163.359</v>
      </c>
      <c r="J42" s="35" t="n">
        <f aca="false">'Índices IGPM'!D37</f>
        <v>0.000514293135046632</v>
      </c>
      <c r="K42" s="36"/>
      <c r="L42" s="34" t="n">
        <f aca="false">H42</f>
        <v>147693.249185028</v>
      </c>
      <c r="M42" s="36"/>
      <c r="N42" s="34" t="n">
        <f aca="false">H42</f>
        <v>147693.249185028</v>
      </c>
      <c r="O42" s="34" t="n">
        <f aca="false">H42</f>
        <v>147693.249185028</v>
      </c>
      <c r="P42" s="34" t="n">
        <f aca="false">IF(AND(E42&lt;&gt;"",DAY(E42)&gt;10),F42*0.02,0)</f>
        <v>0</v>
      </c>
      <c r="Q42" s="34" t="n">
        <f aca="false">IF(AND(E42&lt;&gt;"",DAY(E42)&gt;10),F42*0.00033*(DAY(E42)-10),0)</f>
        <v>0</v>
      </c>
    </row>
    <row r="43" customFormat="false" ht="15" hidden="false" customHeight="false" outlineLevel="0" collapsed="false">
      <c r="B43" s="37" t="n">
        <v>33</v>
      </c>
      <c r="C43" s="38" t="n">
        <v>2023</v>
      </c>
      <c r="D43" s="37" t="s">
        <v>45</v>
      </c>
      <c r="E43" s="39"/>
      <c r="F43" s="40" t="n">
        <f aca="false">Reajustes!H6</f>
        <v>1230.78263632781</v>
      </c>
      <c r="G43" s="25"/>
      <c r="H43" s="41" t="n">
        <f aca="false">O42-IF(G43="",0,G43)</f>
        <v>147693.249185028</v>
      </c>
      <c r="I43" s="42" t="n">
        <f aca="false">'Índices IGPM'!C38</f>
        <v>1152.307</v>
      </c>
      <c r="J43" s="43" t="n">
        <f aca="false">'Índices IGPM'!D38</f>
        <v>-0.00950007693239998</v>
      </c>
      <c r="K43" s="44"/>
      <c r="L43" s="41" t="n">
        <f aca="false">H43</f>
        <v>147693.249185028</v>
      </c>
      <c r="M43" s="44"/>
      <c r="N43" s="41" t="n">
        <f aca="false">H43</f>
        <v>147693.249185028</v>
      </c>
      <c r="O43" s="41" t="n">
        <f aca="false">H43</f>
        <v>147693.249185028</v>
      </c>
      <c r="P43" s="41" t="n">
        <f aca="false">IF(AND(E43&lt;&gt;"",DAY(E43)&gt;10),F43*0.02,0)</f>
        <v>0</v>
      </c>
      <c r="Q43" s="41" t="n">
        <f aca="false">IF(AND(E43&lt;&gt;"",DAY(E43)&gt;10),F43*0.00033*(DAY(E43)-10),0)</f>
        <v>0</v>
      </c>
    </row>
    <row r="44" customFormat="false" ht="15" hidden="false" customHeight="false" outlineLevel="0" collapsed="false">
      <c r="B44" s="30" t="n">
        <v>34</v>
      </c>
      <c r="C44" s="31" t="n">
        <v>2023</v>
      </c>
      <c r="D44" s="30" t="s">
        <v>46</v>
      </c>
      <c r="E44" s="32"/>
      <c r="F44" s="33" t="n">
        <f aca="false">Reajustes!H6</f>
        <v>1230.78263632781</v>
      </c>
      <c r="G44" s="25"/>
      <c r="H44" s="34" t="n">
        <f aca="false">O43-IF(G44="",0,G44)</f>
        <v>147693.249185028</v>
      </c>
      <c r="I44" s="19" t="n">
        <f aca="false">'Índices IGPM'!C39</f>
        <v>1131.058</v>
      </c>
      <c r="J44" s="35" t="n">
        <f aca="false">'Índices IGPM'!D39</f>
        <v>-0.0184403982619215</v>
      </c>
      <c r="K44" s="36"/>
      <c r="L44" s="34" t="n">
        <f aca="false">H44</f>
        <v>147693.249185028</v>
      </c>
      <c r="M44" s="36"/>
      <c r="N44" s="34" t="n">
        <f aca="false">H44</f>
        <v>147693.249185028</v>
      </c>
      <c r="O44" s="34" t="n">
        <f aca="false">H44</f>
        <v>147693.249185028</v>
      </c>
      <c r="P44" s="34" t="n">
        <f aca="false">IF(AND(E44&lt;&gt;"",DAY(E44)&gt;10),F44*0.02,0)</f>
        <v>0</v>
      </c>
      <c r="Q44" s="34" t="n">
        <f aca="false">IF(AND(E44&lt;&gt;"",DAY(E44)&gt;10),F44*0.00033*(DAY(E44)-10),0)</f>
        <v>0</v>
      </c>
    </row>
    <row r="45" customFormat="false" ht="15" hidden="false" customHeight="false" outlineLevel="0" collapsed="false">
      <c r="B45" s="37" t="n">
        <v>35</v>
      </c>
      <c r="C45" s="38" t="n">
        <v>2023</v>
      </c>
      <c r="D45" s="37" t="s">
        <v>47</v>
      </c>
      <c r="E45" s="39"/>
      <c r="F45" s="40" t="n">
        <f aca="false">Reajustes!H6</f>
        <v>1230.78263632781</v>
      </c>
      <c r="G45" s="25"/>
      <c r="H45" s="41" t="n">
        <f aca="false">O44-IF(G45="",0,G45)</f>
        <v>147693.249185028</v>
      </c>
      <c r="I45" s="42" t="n">
        <f aca="false">'Índices IGPM'!C40</f>
        <v>1109.23</v>
      </c>
      <c r="J45" s="43" t="n">
        <f aca="false">'Índices IGPM'!D40</f>
        <v>-0.0192987450687763</v>
      </c>
      <c r="K45" s="44"/>
      <c r="L45" s="41" t="n">
        <f aca="false">H45</f>
        <v>147693.249185028</v>
      </c>
      <c r="M45" s="44"/>
      <c r="N45" s="41" t="n">
        <f aca="false">H45</f>
        <v>147693.249185028</v>
      </c>
      <c r="O45" s="41" t="n">
        <f aca="false">H45</f>
        <v>147693.249185028</v>
      </c>
      <c r="P45" s="41" t="n">
        <f aca="false">IF(AND(E45&lt;&gt;"",DAY(E45)&gt;10),F45*0.02,0)</f>
        <v>0</v>
      </c>
      <c r="Q45" s="41" t="n">
        <f aca="false">IF(AND(E45&lt;&gt;"",DAY(E45)&gt;10),F45*0.00033*(DAY(E45)-10),0)</f>
        <v>0</v>
      </c>
    </row>
    <row r="46" customFormat="false" ht="15" hidden="false" customHeight="false" outlineLevel="0" collapsed="false">
      <c r="B46" s="45" t="n">
        <v>36</v>
      </c>
      <c r="C46" s="46" t="n">
        <v>2023</v>
      </c>
      <c r="D46" s="45" t="s">
        <v>36</v>
      </c>
      <c r="E46" s="47"/>
      <c r="F46" s="48" t="n">
        <f aca="false">Reajustes!H6</f>
        <v>1230.78263632781</v>
      </c>
      <c r="G46" s="25"/>
      <c r="H46" s="49" t="n">
        <f aca="false">O45-IF(G46="",0,G46)</f>
        <v>147693.249185028</v>
      </c>
      <c r="I46" s="50" t="n">
        <f aca="false">'Índices IGPM'!C41</f>
        <v>1101.204</v>
      </c>
      <c r="J46" s="51" t="n">
        <f aca="false">'Índices IGPM'!D41</f>
        <v>-0.00723564995537451</v>
      </c>
      <c r="K46" s="51" t="n">
        <f aca="false">Reajustes!F6</f>
        <v>-0.0772061873552903</v>
      </c>
      <c r="L46" s="49" t="n">
        <f aca="false">IF(K46=0,H46,H46*(1+K46))</f>
        <v>136290.416517337</v>
      </c>
      <c r="M46" s="51" t="n">
        <f aca="false">Reajustes!E7</f>
        <v>0.0873106619155055</v>
      </c>
      <c r="N46" s="49" t="n">
        <f aca="false">L46*(1+M46)</f>
        <v>148190.022996206</v>
      </c>
      <c r="O46" s="52" t="n">
        <f aca="false">N46</f>
        <v>148190.022996206</v>
      </c>
      <c r="P46" s="49" t="n">
        <f aca="false">IF(AND(E46&lt;&gt;"",DAY(E46)&gt;10),F46*0.02,0)</f>
        <v>0</v>
      </c>
      <c r="Q46" s="49" t="n">
        <f aca="false">IF(AND(E46&lt;&gt;"",DAY(E46)&gt;10),F46*0.00033*(DAY(E46)-10),0)</f>
        <v>0</v>
      </c>
    </row>
    <row r="47" customFormat="false" ht="15" hidden="false" customHeight="false" outlineLevel="0" collapsed="false">
      <c r="B47" s="21" t="n">
        <v>37</v>
      </c>
      <c r="C47" s="22" t="n">
        <v>2023</v>
      </c>
      <c r="D47" s="21" t="s">
        <v>37</v>
      </c>
      <c r="E47" s="23"/>
      <c r="F47" s="24" t="n">
        <f aca="false">Reajustes!H7</f>
        <v>1234.92243678825</v>
      </c>
      <c r="G47" s="25"/>
      <c r="H47" s="26" t="n">
        <f aca="false">O46-IF(G47="",0,G47)</f>
        <v>148190.022996206</v>
      </c>
      <c r="I47" s="27" t="n">
        <f aca="false">'Índices IGPM'!C42</f>
        <v>1099.71</v>
      </c>
      <c r="J47" s="28" t="n">
        <f aca="false">'Índices IGPM'!D42</f>
        <v>-0.0013566968518094</v>
      </c>
      <c r="K47" s="29"/>
      <c r="L47" s="26" t="n">
        <f aca="false">H47</f>
        <v>148190.022996206</v>
      </c>
      <c r="M47" s="29"/>
      <c r="N47" s="26" t="n">
        <f aca="false">H47</f>
        <v>148190.022996206</v>
      </c>
      <c r="O47" s="26" t="n">
        <f aca="false">H47</f>
        <v>148190.022996206</v>
      </c>
      <c r="P47" s="26" t="n">
        <f aca="false">IF(AND(E47&lt;&gt;"",DAY(E47)&gt;10),F47*0.02,0)</f>
        <v>0</v>
      </c>
      <c r="Q47" s="26" t="n">
        <f aca="false">IF(AND(E47&lt;&gt;"",DAY(E47)&gt;10),F47*0.00033*(DAY(E47)-10),0)</f>
        <v>0</v>
      </c>
    </row>
    <row r="48" customFormat="false" ht="15" hidden="false" customHeight="false" outlineLevel="0" collapsed="false">
      <c r="B48" s="30" t="n">
        <v>38</v>
      </c>
      <c r="C48" s="31" t="n">
        <v>2023</v>
      </c>
      <c r="D48" s="30" t="s">
        <v>38</v>
      </c>
      <c r="E48" s="32"/>
      <c r="F48" s="33" t="n">
        <f aca="false">Reajustes!H7</f>
        <v>1234.92243678825</v>
      </c>
      <c r="G48" s="25"/>
      <c r="H48" s="34" t="n">
        <f aca="false">O47-IF(G48="",0,G48)</f>
        <v>148190.022996206</v>
      </c>
      <c r="I48" s="19" t="n">
        <f aca="false">'Índices IGPM'!C43</f>
        <v>1103.74</v>
      </c>
      <c r="J48" s="35" t="n">
        <f aca="false">'Índices IGPM'!D43</f>
        <v>0.00366460248610995</v>
      </c>
      <c r="K48" s="36"/>
      <c r="L48" s="34" t="n">
        <f aca="false">H48</f>
        <v>148190.022996206</v>
      </c>
      <c r="M48" s="36"/>
      <c r="N48" s="34" t="n">
        <f aca="false">H48</f>
        <v>148190.022996206</v>
      </c>
      <c r="O48" s="34" t="n">
        <f aca="false">H48</f>
        <v>148190.022996206</v>
      </c>
      <c r="P48" s="34" t="n">
        <f aca="false">IF(AND(E48&lt;&gt;"",DAY(E48)&gt;10),F48*0.02,0)</f>
        <v>0</v>
      </c>
      <c r="Q48" s="34" t="n">
        <f aca="false">IF(AND(E48&lt;&gt;"",DAY(E48)&gt;10),F48*0.00033*(DAY(E48)-10),0)</f>
        <v>0</v>
      </c>
    </row>
    <row r="49" customFormat="false" ht="15" hidden="false" customHeight="false" outlineLevel="0" collapsed="false">
      <c r="B49" s="37" t="n">
        <v>39</v>
      </c>
      <c r="C49" s="38" t="n">
        <v>2023</v>
      </c>
      <c r="D49" s="37" t="s">
        <v>39</v>
      </c>
      <c r="E49" s="39"/>
      <c r="F49" s="40" t="n">
        <f aca="false">Reajustes!H7</f>
        <v>1234.92243678825</v>
      </c>
      <c r="G49" s="25"/>
      <c r="H49" s="41" t="n">
        <f aca="false">O48-IF(G49="",0,G49)</f>
        <v>148190.022996206</v>
      </c>
      <c r="I49" s="42" t="n">
        <f aca="false">'Índices IGPM'!C44</f>
        <v>1109.236</v>
      </c>
      <c r="J49" s="43" t="n">
        <f aca="false">'Índices IGPM'!D44</f>
        <v>0.00497943356225207</v>
      </c>
      <c r="K49" s="44"/>
      <c r="L49" s="41" t="n">
        <f aca="false">H49</f>
        <v>148190.022996206</v>
      </c>
      <c r="M49" s="44"/>
      <c r="N49" s="41" t="n">
        <f aca="false">H49</f>
        <v>148190.022996206</v>
      </c>
      <c r="O49" s="41" t="n">
        <f aca="false">H49</f>
        <v>148190.022996206</v>
      </c>
      <c r="P49" s="41" t="n">
        <f aca="false">IF(AND(E49&lt;&gt;"",DAY(E49)&gt;10),F49*0.02,0)</f>
        <v>0</v>
      </c>
      <c r="Q49" s="41" t="n">
        <f aca="false">IF(AND(E49&lt;&gt;"",DAY(E49)&gt;10),F49*0.00033*(DAY(E49)-10),0)</f>
        <v>0</v>
      </c>
    </row>
    <row r="50" customFormat="false" ht="15" hidden="false" customHeight="false" outlineLevel="0" collapsed="false">
      <c r="B50" s="30" t="n">
        <v>40</v>
      </c>
      <c r="C50" s="31" t="n">
        <v>2023</v>
      </c>
      <c r="D50" s="30" t="s">
        <v>40</v>
      </c>
      <c r="E50" s="32"/>
      <c r="F50" s="33" t="n">
        <f aca="false">Reajustes!H7</f>
        <v>1234.92243678825</v>
      </c>
      <c r="G50" s="25"/>
      <c r="H50" s="34" t="n">
        <f aca="false">O49-IF(G50="",0,G50)</f>
        <v>148190.022996206</v>
      </c>
      <c r="I50" s="19" t="n">
        <f aca="false">'Índices IGPM'!C45</f>
        <v>1115.815</v>
      </c>
      <c r="J50" s="35" t="n">
        <f aca="false">'Índices IGPM'!D45</f>
        <v>0.00593110934012235</v>
      </c>
      <c r="K50" s="36"/>
      <c r="L50" s="34" t="n">
        <f aca="false">H50</f>
        <v>148190.022996206</v>
      </c>
      <c r="M50" s="36"/>
      <c r="N50" s="34" t="n">
        <f aca="false">H50</f>
        <v>148190.022996206</v>
      </c>
      <c r="O50" s="34" t="n">
        <f aca="false">H50</f>
        <v>148190.022996206</v>
      </c>
      <c r="P50" s="34" t="n">
        <f aca="false">IF(AND(E50&lt;&gt;"",DAY(E50)&gt;10),F50*0.02,0)</f>
        <v>0</v>
      </c>
      <c r="Q50" s="34" t="n">
        <f aca="false">IF(AND(E50&lt;&gt;"",DAY(E50)&gt;10),F50*0.00033*(DAY(E50)-10),0)</f>
        <v>0</v>
      </c>
    </row>
    <row r="51" customFormat="false" ht="15" hidden="false" customHeight="false" outlineLevel="0" collapsed="false">
      <c r="B51" s="37" t="n">
        <v>41</v>
      </c>
      <c r="C51" s="38" t="n">
        <v>2023</v>
      </c>
      <c r="D51" s="37" t="s">
        <v>41</v>
      </c>
      <c r="E51" s="39"/>
      <c r="F51" s="40" t="n">
        <f aca="false">Reajustes!H7</f>
        <v>1234.92243678825</v>
      </c>
      <c r="G51" s="25"/>
      <c r="H51" s="41" t="n">
        <f aca="false">O50-IF(G51="",0,G51)</f>
        <v>148190.022996206</v>
      </c>
      <c r="I51" s="42" t="n">
        <f aca="false">'Índices IGPM'!C46</f>
        <v>1124.072</v>
      </c>
      <c r="J51" s="43" t="n">
        <f aca="false">'Índices IGPM'!D46</f>
        <v>0.00739997221761657</v>
      </c>
      <c r="K51" s="44"/>
      <c r="L51" s="41" t="n">
        <f aca="false">H51</f>
        <v>148190.022996206</v>
      </c>
      <c r="M51" s="44"/>
      <c r="N51" s="41" t="n">
        <f aca="false">H51</f>
        <v>148190.022996206</v>
      </c>
      <c r="O51" s="41" t="n">
        <f aca="false">H51</f>
        <v>148190.022996206</v>
      </c>
      <c r="P51" s="41" t="n">
        <f aca="false">IF(AND(E51&lt;&gt;"",DAY(E51)&gt;10),F51*0.02,0)</f>
        <v>0</v>
      </c>
      <c r="Q51" s="41" t="n">
        <f aca="false">IF(AND(E51&lt;&gt;"",DAY(E51)&gt;10),F51*0.00033*(DAY(E51)-10),0)</f>
        <v>0</v>
      </c>
    </row>
    <row r="52" customFormat="false" ht="15" hidden="false" customHeight="false" outlineLevel="0" collapsed="false">
      <c r="B52" s="30" t="n">
        <v>42</v>
      </c>
      <c r="C52" s="31" t="n">
        <v>2024</v>
      </c>
      <c r="D52" s="30" t="s">
        <v>42</v>
      </c>
      <c r="E52" s="32"/>
      <c r="F52" s="33" t="n">
        <f aca="false">Reajustes!H7</f>
        <v>1234.92243678825</v>
      </c>
      <c r="G52" s="25"/>
      <c r="H52" s="34" t="n">
        <f aca="false">O51-IF(G52="",0,G52)</f>
        <v>148190.022996206</v>
      </c>
      <c r="I52" s="19" t="n">
        <f aca="false">'Índices IGPM'!C47</f>
        <v>1124.879</v>
      </c>
      <c r="J52" s="35" t="n">
        <f aca="false">'Índices IGPM'!D47</f>
        <v>0.000717925542136106</v>
      </c>
      <c r="K52" s="36"/>
      <c r="L52" s="34" t="n">
        <f aca="false">H52</f>
        <v>148190.022996206</v>
      </c>
      <c r="M52" s="36"/>
      <c r="N52" s="34" t="n">
        <f aca="false">H52</f>
        <v>148190.022996206</v>
      </c>
      <c r="O52" s="34" t="n">
        <f aca="false">H52</f>
        <v>148190.022996206</v>
      </c>
      <c r="P52" s="34" t="n">
        <f aca="false">IF(AND(E52&lt;&gt;"",DAY(E52)&gt;10),F52*0.02,0)</f>
        <v>0</v>
      </c>
      <c r="Q52" s="34" t="n">
        <f aca="false">IF(AND(E52&lt;&gt;"",DAY(E52)&gt;10),F52*0.00033*(DAY(E52)-10),0)</f>
        <v>0</v>
      </c>
    </row>
    <row r="53" customFormat="false" ht="15" hidden="false" customHeight="false" outlineLevel="0" collapsed="false">
      <c r="B53" s="37" t="n">
        <v>43</v>
      </c>
      <c r="C53" s="38" t="n">
        <v>2024</v>
      </c>
      <c r="D53" s="37" t="s">
        <v>43</v>
      </c>
      <c r="E53" s="39"/>
      <c r="F53" s="40" t="n">
        <f aca="false">Reajustes!H7</f>
        <v>1234.92243678825</v>
      </c>
      <c r="G53" s="25"/>
      <c r="H53" s="41" t="n">
        <f aca="false">O52-IF(G53="",0,G53)</f>
        <v>148190.022996206</v>
      </c>
      <c r="I53" s="42" t="n">
        <f aca="false">'Índices IGPM'!C48</f>
        <v>1119.061</v>
      </c>
      <c r="J53" s="43" t="n">
        <f aca="false">'Índices IGPM'!D48</f>
        <v>-0.00517211184491842</v>
      </c>
      <c r="K53" s="44"/>
      <c r="L53" s="41" t="n">
        <f aca="false">H53</f>
        <v>148190.022996206</v>
      </c>
      <c r="M53" s="44"/>
      <c r="N53" s="41" t="n">
        <f aca="false">H53</f>
        <v>148190.022996206</v>
      </c>
      <c r="O53" s="41" t="n">
        <f aca="false">H53</f>
        <v>148190.022996206</v>
      </c>
      <c r="P53" s="41" t="n">
        <f aca="false">IF(AND(E53&lt;&gt;"",DAY(E53)&gt;10),F53*0.02,0)</f>
        <v>0</v>
      </c>
      <c r="Q53" s="41" t="n">
        <f aca="false">IF(AND(E53&lt;&gt;"",DAY(E53)&gt;10),F53*0.00033*(DAY(E53)-10),0)</f>
        <v>0</v>
      </c>
    </row>
    <row r="54" customFormat="false" ht="15" hidden="false" customHeight="false" outlineLevel="0" collapsed="false">
      <c r="B54" s="30" t="n">
        <v>44</v>
      </c>
      <c r="C54" s="31" t="n">
        <v>2024</v>
      </c>
      <c r="D54" s="30" t="s">
        <v>44</v>
      </c>
      <c r="E54" s="32"/>
      <c r="F54" s="33" t="n">
        <f aca="false">Reajustes!H7</f>
        <v>1234.92243678825</v>
      </c>
      <c r="G54" s="25"/>
      <c r="H54" s="34" t="n">
        <f aca="false">O53-IF(G54="",0,G54)</f>
        <v>148190.022996206</v>
      </c>
      <c r="I54" s="19" t="n">
        <f aca="false">'Índices IGPM'!C49</f>
        <v>1113.837</v>
      </c>
      <c r="J54" s="35" t="n">
        <f aca="false">'Índices IGPM'!D49</f>
        <v>-0.00466819949940167</v>
      </c>
      <c r="K54" s="36"/>
      <c r="L54" s="34" t="n">
        <f aca="false">H54</f>
        <v>148190.022996206</v>
      </c>
      <c r="M54" s="36"/>
      <c r="N54" s="34" t="n">
        <f aca="false">H54</f>
        <v>148190.022996206</v>
      </c>
      <c r="O54" s="34" t="n">
        <f aca="false">H54</f>
        <v>148190.022996206</v>
      </c>
      <c r="P54" s="34" t="n">
        <f aca="false">IF(AND(E54&lt;&gt;"",DAY(E54)&gt;10),F54*0.02,0)</f>
        <v>0</v>
      </c>
      <c r="Q54" s="34" t="n">
        <f aca="false">IF(AND(E54&lt;&gt;"",DAY(E54)&gt;10),F54*0.00033*(DAY(E54)-10),0)</f>
        <v>0</v>
      </c>
    </row>
    <row r="55" customFormat="false" ht="15" hidden="false" customHeight="false" outlineLevel="0" collapsed="false">
      <c r="B55" s="37" t="n">
        <v>45</v>
      </c>
      <c r="C55" s="38" t="n">
        <v>2024</v>
      </c>
      <c r="D55" s="37" t="s">
        <v>45</v>
      </c>
      <c r="E55" s="39"/>
      <c r="F55" s="40" t="n">
        <f aca="false">Reajustes!H7</f>
        <v>1234.92243678825</v>
      </c>
      <c r="G55" s="25"/>
      <c r="H55" s="41" t="n">
        <f aca="false">O54-IF(G55="",0,G55)</f>
        <v>148190.022996206</v>
      </c>
      <c r="I55" s="42" t="n">
        <f aca="false">'Índices IGPM'!C50</f>
        <v>1117.28</v>
      </c>
      <c r="J55" s="43" t="n">
        <f aca="false">'Índices IGPM'!D50</f>
        <v>0.00309111656373418</v>
      </c>
      <c r="K55" s="44"/>
      <c r="L55" s="41" t="n">
        <f aca="false">H55</f>
        <v>148190.022996206</v>
      </c>
      <c r="M55" s="44"/>
      <c r="N55" s="41" t="n">
        <f aca="false">H55</f>
        <v>148190.022996206</v>
      </c>
      <c r="O55" s="41" t="n">
        <f aca="false">H55</f>
        <v>148190.022996206</v>
      </c>
      <c r="P55" s="41" t="n">
        <f aca="false">IF(AND(E55&lt;&gt;"",DAY(E55)&gt;10),F55*0.02,0)</f>
        <v>0</v>
      </c>
      <c r="Q55" s="41" t="n">
        <f aca="false">IF(AND(E55&lt;&gt;"",DAY(E55)&gt;10),F55*0.00033*(DAY(E55)-10),0)</f>
        <v>0</v>
      </c>
    </row>
    <row r="56" customFormat="false" ht="15" hidden="false" customHeight="false" outlineLevel="0" collapsed="false">
      <c r="B56" s="30" t="n">
        <v>46</v>
      </c>
      <c r="C56" s="31" t="n">
        <v>2024</v>
      </c>
      <c r="D56" s="30" t="s">
        <v>46</v>
      </c>
      <c r="E56" s="32"/>
      <c r="F56" s="33" t="n">
        <f aca="false">Reajustes!H7</f>
        <v>1234.92243678825</v>
      </c>
      <c r="G56" s="25"/>
      <c r="H56" s="34" t="n">
        <f aca="false">O55-IF(G56="",0,G56)</f>
        <v>148190.022996206</v>
      </c>
      <c r="I56" s="19" t="n">
        <f aca="false">'Índices IGPM'!C51</f>
        <v>1127.233</v>
      </c>
      <c r="J56" s="35" t="n">
        <f aca="false">'Índices IGPM'!D51</f>
        <v>0.00890824144350563</v>
      </c>
      <c r="K56" s="36"/>
      <c r="L56" s="34" t="n">
        <f aca="false">H56</f>
        <v>148190.022996206</v>
      </c>
      <c r="M56" s="36"/>
      <c r="N56" s="34" t="n">
        <f aca="false">H56</f>
        <v>148190.022996206</v>
      </c>
      <c r="O56" s="34" t="n">
        <f aca="false">H56</f>
        <v>148190.022996206</v>
      </c>
      <c r="P56" s="34" t="n">
        <f aca="false">IF(AND(E56&lt;&gt;"",DAY(E56)&gt;10),F56*0.02,0)</f>
        <v>0</v>
      </c>
      <c r="Q56" s="34" t="n">
        <f aca="false">IF(AND(E56&lt;&gt;"",DAY(E56)&gt;10),F56*0.00033*(DAY(E56)-10),0)</f>
        <v>0</v>
      </c>
    </row>
    <row r="57" customFormat="false" ht="15" hidden="false" customHeight="false" outlineLevel="0" collapsed="false">
      <c r="B57" s="37" t="n">
        <v>47</v>
      </c>
      <c r="C57" s="38" t="n">
        <v>2024</v>
      </c>
      <c r="D57" s="37" t="s">
        <v>47</v>
      </c>
      <c r="E57" s="39"/>
      <c r="F57" s="40" t="n">
        <f aca="false">Reajustes!H7</f>
        <v>1234.92243678825</v>
      </c>
      <c r="G57" s="25"/>
      <c r="H57" s="41" t="n">
        <f aca="false">O56-IF(G57="",0,G57)</f>
        <v>148190.022996206</v>
      </c>
      <c r="I57" s="42" t="n">
        <f aca="false">'Índices IGPM'!C52</f>
        <v>1136.409</v>
      </c>
      <c r="J57" s="43" t="n">
        <f aca="false">'Índices IGPM'!D52</f>
        <v>0.00814028687946517</v>
      </c>
      <c r="K57" s="44"/>
      <c r="L57" s="41" t="n">
        <f aca="false">H57</f>
        <v>148190.022996206</v>
      </c>
      <c r="M57" s="44"/>
      <c r="N57" s="41" t="n">
        <f aca="false">H57</f>
        <v>148190.022996206</v>
      </c>
      <c r="O57" s="41" t="n">
        <f aca="false">H57</f>
        <v>148190.022996206</v>
      </c>
      <c r="P57" s="41" t="n">
        <f aca="false">IF(AND(E57&lt;&gt;"",DAY(E57)&gt;10),F57*0.02,0)</f>
        <v>0</v>
      </c>
      <c r="Q57" s="41" t="n">
        <f aca="false">IF(AND(E57&lt;&gt;"",DAY(E57)&gt;10),F57*0.00033*(DAY(E57)-10),0)</f>
        <v>0</v>
      </c>
    </row>
    <row r="58" customFormat="false" ht="15" hidden="false" customHeight="false" outlineLevel="0" collapsed="false">
      <c r="B58" s="45" t="n">
        <v>48</v>
      </c>
      <c r="C58" s="46" t="n">
        <v>2024</v>
      </c>
      <c r="D58" s="45" t="s">
        <v>36</v>
      </c>
      <c r="E58" s="47"/>
      <c r="F58" s="48" t="n">
        <f aca="false">Reajustes!H7</f>
        <v>1234.92243678825</v>
      </c>
      <c r="G58" s="25"/>
      <c r="H58" s="49" t="n">
        <f aca="false">O57-IF(G58="",0,G58)</f>
        <v>148190.022996206</v>
      </c>
      <c r="I58" s="50" t="n">
        <f aca="false">'Índices IGPM'!C53</f>
        <v>1143.313</v>
      </c>
      <c r="J58" s="51" t="n">
        <f aca="false">'Índices IGPM'!D53</f>
        <v>0.0060752774749232</v>
      </c>
      <c r="K58" s="51" t="n">
        <f aca="false">Reajustes!F7</f>
        <v>0.0382390547073932</v>
      </c>
      <c r="L58" s="49" t="n">
        <f aca="false">IF(K58=0,H58,H58*(1+K58))</f>
        <v>153856.669392647</v>
      </c>
      <c r="M58" s="51" t="n">
        <f aca="false">Reajustes!E8</f>
        <v>0.0938068976709838</v>
      </c>
      <c r="N58" s="49" t="n">
        <f aca="false">L58*(1+M58)</f>
        <v>168289.486234362</v>
      </c>
      <c r="O58" s="52" t="n">
        <f aca="false">N58</f>
        <v>168289.486234362</v>
      </c>
      <c r="P58" s="49" t="n">
        <f aca="false">IF(AND(E58&lt;&gt;"",DAY(E58)&gt;10),F58*0.02,0)</f>
        <v>0</v>
      </c>
      <c r="Q58" s="49" t="n">
        <f aca="false">IF(AND(E58&lt;&gt;"",DAY(E58)&gt;10),F58*0.00033*(DAY(E58)-10),0)</f>
        <v>0</v>
      </c>
    </row>
    <row r="59" customFormat="false" ht="15" hidden="false" customHeight="false" outlineLevel="0" collapsed="false">
      <c r="B59" s="21" t="n">
        <v>49</v>
      </c>
      <c r="C59" s="22" t="n">
        <v>2024</v>
      </c>
      <c r="D59" s="21" t="s">
        <v>37</v>
      </c>
      <c r="E59" s="23"/>
      <c r="F59" s="24" t="n">
        <f aca="false">Reajustes!H8</f>
        <v>1402.41872039997</v>
      </c>
      <c r="G59" s="25"/>
      <c r="H59" s="26" t="n">
        <f aca="false">O58-IF(G59="",0,G59)</f>
        <v>168289.486234362</v>
      </c>
      <c r="I59" s="27" t="n">
        <f aca="false">'Índices IGPM'!C54</f>
        <v>1146.575</v>
      </c>
      <c r="J59" s="28" t="n">
        <f aca="false">'Índices IGPM'!D54</f>
        <v>0.00285311196496493</v>
      </c>
      <c r="K59" s="29"/>
      <c r="L59" s="26" t="n">
        <f aca="false">H59</f>
        <v>168289.486234362</v>
      </c>
      <c r="M59" s="29"/>
      <c r="N59" s="26" t="n">
        <f aca="false">H59</f>
        <v>168289.486234362</v>
      </c>
      <c r="O59" s="26" t="n">
        <f aca="false">H59</f>
        <v>168289.486234362</v>
      </c>
      <c r="P59" s="26" t="n">
        <f aca="false">IF(AND(E59&lt;&gt;"",DAY(E59)&gt;10),F59*0.02,0)</f>
        <v>0</v>
      </c>
      <c r="Q59" s="26" t="n">
        <f aca="false">IF(AND(E59&lt;&gt;"",DAY(E59)&gt;10),F59*0.00033*(DAY(E59)-10),0)</f>
        <v>0</v>
      </c>
    </row>
    <row r="60" customFormat="false" ht="15" hidden="false" customHeight="false" outlineLevel="0" collapsed="false">
      <c r="B60" s="30" t="n">
        <v>50</v>
      </c>
      <c r="C60" s="31" t="n">
        <v>2024</v>
      </c>
      <c r="D60" s="30" t="s">
        <v>38</v>
      </c>
      <c r="E60" s="32"/>
      <c r="F60" s="33" t="n">
        <f aca="false">Reajustes!H8</f>
        <v>1402.41872039997</v>
      </c>
      <c r="G60" s="25"/>
      <c r="H60" s="34" t="n">
        <f aca="false">O59-IF(G60="",0,G60)</f>
        <v>168289.486234362</v>
      </c>
      <c r="I60" s="19" t="n">
        <f aca="false">'Índices IGPM'!C55</f>
        <v>1153.718</v>
      </c>
      <c r="J60" s="35" t="n">
        <f aca="false">'Índices IGPM'!D55</f>
        <v>0.00622985849159456</v>
      </c>
      <c r="K60" s="36"/>
      <c r="L60" s="34" t="n">
        <f aca="false">H60</f>
        <v>168289.486234362</v>
      </c>
      <c r="M60" s="36"/>
      <c r="N60" s="34" t="n">
        <f aca="false">H60</f>
        <v>168289.486234362</v>
      </c>
      <c r="O60" s="34" t="n">
        <f aca="false">H60</f>
        <v>168289.486234362</v>
      </c>
      <c r="P60" s="34" t="n">
        <f aca="false">IF(AND(E60&lt;&gt;"",DAY(E60)&gt;10),F60*0.02,0)</f>
        <v>0</v>
      </c>
      <c r="Q60" s="34" t="n">
        <f aca="false">IF(AND(E60&lt;&gt;"",DAY(E60)&gt;10),F60*0.00033*(DAY(E60)-10),0)</f>
        <v>0</v>
      </c>
    </row>
    <row r="61" customFormat="false" ht="15" hidden="false" customHeight="false" outlineLevel="0" collapsed="false">
      <c r="B61" s="37" t="n">
        <v>51</v>
      </c>
      <c r="C61" s="38" t="n">
        <v>2024</v>
      </c>
      <c r="D61" s="37" t="s">
        <v>39</v>
      </c>
      <c r="E61" s="39"/>
      <c r="F61" s="40" t="n">
        <f aca="false">Reajustes!H8</f>
        <v>1402.41872039997</v>
      </c>
      <c r="G61" s="25"/>
      <c r="H61" s="41" t="n">
        <f aca="false">O60-IF(G61="",0,G61)</f>
        <v>168289.486234362</v>
      </c>
      <c r="I61" s="42" t="n">
        <f aca="false">'Índices IGPM'!C56</f>
        <v>1171.272</v>
      </c>
      <c r="J61" s="43" t="n">
        <f aca="false">'Índices IGPM'!D56</f>
        <v>0.0152151565633889</v>
      </c>
      <c r="K61" s="44"/>
      <c r="L61" s="41" t="n">
        <f aca="false">H61</f>
        <v>168289.486234362</v>
      </c>
      <c r="M61" s="44"/>
      <c r="N61" s="41" t="n">
        <f aca="false">H61</f>
        <v>168289.486234362</v>
      </c>
      <c r="O61" s="41" t="n">
        <f aca="false">H61</f>
        <v>168289.486234362</v>
      </c>
      <c r="P61" s="41" t="n">
        <f aca="false">IF(AND(E61&lt;&gt;"",DAY(E61)&gt;10),F61*0.02,0)</f>
        <v>0</v>
      </c>
      <c r="Q61" s="41" t="n">
        <f aca="false">IF(AND(E61&lt;&gt;"",DAY(E61)&gt;10),F61*0.00033*(DAY(E61)-10),0)</f>
        <v>0</v>
      </c>
    </row>
    <row r="62" customFormat="false" ht="15" hidden="false" customHeight="false" outlineLevel="0" collapsed="false">
      <c r="B62" s="30" t="n">
        <v>52</v>
      </c>
      <c r="C62" s="31" t="n">
        <v>2024</v>
      </c>
      <c r="D62" s="30" t="s">
        <v>40</v>
      </c>
      <c r="E62" s="32"/>
      <c r="F62" s="33" t="n">
        <f aca="false">Reajustes!H8</f>
        <v>1402.41872039997</v>
      </c>
      <c r="G62" s="25"/>
      <c r="H62" s="34" t="n">
        <f aca="false">O61-IF(G62="",0,G62)</f>
        <v>168289.486234362</v>
      </c>
      <c r="I62" s="19" t="n">
        <f aca="false">'Índices IGPM'!C57</f>
        <v>1186.462</v>
      </c>
      <c r="J62" s="35" t="n">
        <f aca="false">'Índices IGPM'!D57</f>
        <v>0.0129688065624382</v>
      </c>
      <c r="K62" s="36"/>
      <c r="L62" s="34" t="n">
        <f aca="false">H62</f>
        <v>168289.486234362</v>
      </c>
      <c r="M62" s="36"/>
      <c r="N62" s="34" t="n">
        <f aca="false">H62</f>
        <v>168289.486234362</v>
      </c>
      <c r="O62" s="34" t="n">
        <f aca="false">H62</f>
        <v>168289.486234362</v>
      </c>
      <c r="P62" s="34" t="n">
        <f aca="false">IF(AND(E62&lt;&gt;"",DAY(E62)&gt;10),F62*0.02,0)</f>
        <v>0</v>
      </c>
      <c r="Q62" s="34" t="n">
        <f aca="false">IF(AND(E62&lt;&gt;"",DAY(E62)&gt;10),F62*0.00033*(DAY(E62)-10),0)</f>
        <v>0</v>
      </c>
    </row>
    <row r="63" customFormat="false" ht="15" hidden="false" customHeight="false" outlineLevel="0" collapsed="false">
      <c r="B63" s="37" t="n">
        <v>53</v>
      </c>
      <c r="C63" s="38" t="n">
        <v>2024</v>
      </c>
      <c r="D63" s="37" t="s">
        <v>41</v>
      </c>
      <c r="E63" s="39"/>
      <c r="F63" s="40" t="n">
        <f aca="false">Reajustes!H8</f>
        <v>1402.41872039997</v>
      </c>
      <c r="G63" s="25"/>
      <c r="H63" s="41" t="n">
        <f aca="false">O62-IF(G63="",0,G63)</f>
        <v>168289.486234362</v>
      </c>
      <c r="I63" s="42" t="n">
        <f aca="false">'Índices IGPM'!C58</f>
        <v>1197.615</v>
      </c>
      <c r="J63" s="43" t="n">
        <f aca="false">'Índices IGPM'!D58</f>
        <v>0.00940021677896133</v>
      </c>
      <c r="K63" s="44"/>
      <c r="L63" s="41" t="n">
        <f aca="false">H63</f>
        <v>168289.486234362</v>
      </c>
      <c r="M63" s="44"/>
      <c r="N63" s="41" t="n">
        <f aca="false">H63</f>
        <v>168289.486234362</v>
      </c>
      <c r="O63" s="41" t="n">
        <f aca="false">H63</f>
        <v>168289.486234362</v>
      </c>
      <c r="P63" s="41" t="n">
        <f aca="false">IF(AND(E63&lt;&gt;"",DAY(E63)&gt;10),F63*0.02,0)</f>
        <v>0</v>
      </c>
      <c r="Q63" s="41" t="n">
        <f aca="false">IF(AND(E63&lt;&gt;"",DAY(E63)&gt;10),F63*0.00033*(DAY(E63)-10),0)</f>
        <v>0</v>
      </c>
    </row>
    <row r="64" customFormat="false" ht="15" hidden="false" customHeight="false" outlineLevel="0" collapsed="false">
      <c r="B64" s="30" t="n">
        <v>54</v>
      </c>
      <c r="C64" s="31" t="n">
        <v>2025</v>
      </c>
      <c r="D64" s="30" t="s">
        <v>42</v>
      </c>
      <c r="E64" s="32"/>
      <c r="F64" s="33" t="n">
        <f aca="false">Reajustes!H8</f>
        <v>1402.41872039997</v>
      </c>
      <c r="G64" s="25"/>
      <c r="H64" s="34" t="n">
        <f aca="false">O63-IF(G64="",0,G64)</f>
        <v>168289.486234362</v>
      </c>
      <c r="I64" s="19" t="n">
        <f aca="false">'Índices IGPM'!C59</f>
        <v>1200.848</v>
      </c>
      <c r="J64" s="35" t="n">
        <f aca="false">'Índices IGPM'!D59</f>
        <v>0.00269953198648977</v>
      </c>
      <c r="K64" s="36"/>
      <c r="L64" s="34" t="n">
        <f aca="false">H64</f>
        <v>168289.486234362</v>
      </c>
      <c r="M64" s="36"/>
      <c r="N64" s="34" t="n">
        <f aca="false">H64</f>
        <v>168289.486234362</v>
      </c>
      <c r="O64" s="34" t="n">
        <f aca="false">H64</f>
        <v>168289.486234362</v>
      </c>
      <c r="P64" s="34" t="n">
        <f aca="false">IF(AND(E64&lt;&gt;"",DAY(E64)&gt;10),F64*0.02,0)</f>
        <v>0</v>
      </c>
      <c r="Q64" s="34" t="n">
        <f aca="false">IF(AND(E64&lt;&gt;"",DAY(E64)&gt;10),F64*0.00033*(DAY(E64)-10),0)</f>
        <v>0</v>
      </c>
    </row>
    <row r="65" customFormat="false" ht="15" hidden="false" customHeight="false" outlineLevel="0" collapsed="false">
      <c r="B65" s="37" t="n">
        <v>55</v>
      </c>
      <c r="C65" s="38" t="n">
        <v>2025</v>
      </c>
      <c r="D65" s="37" t="s">
        <v>43</v>
      </c>
      <c r="E65" s="39"/>
      <c r="F65" s="40" t="n">
        <f aca="false">Reajustes!H8</f>
        <v>1402.41872039997</v>
      </c>
      <c r="G65" s="25"/>
      <c r="H65" s="41" t="n">
        <f aca="false">O64-IF(G65="",0,G65)</f>
        <v>168289.486234362</v>
      </c>
      <c r="I65" s="42" t="n">
        <f aca="false">'Índices IGPM'!C60</f>
        <v>1213.577</v>
      </c>
      <c r="J65" s="43" t="n">
        <f aca="false">'Índices IGPM'!D60</f>
        <v>0.0106000093267425</v>
      </c>
      <c r="K65" s="44"/>
      <c r="L65" s="41" t="n">
        <f aca="false">H65</f>
        <v>168289.486234362</v>
      </c>
      <c r="M65" s="44"/>
      <c r="N65" s="41" t="n">
        <f aca="false">H65</f>
        <v>168289.486234362</v>
      </c>
      <c r="O65" s="41" t="n">
        <f aca="false">H65</f>
        <v>168289.486234362</v>
      </c>
      <c r="P65" s="41" t="n">
        <f aca="false">IF(AND(E65&lt;&gt;"",DAY(E65)&gt;10),F65*0.02,0)</f>
        <v>0</v>
      </c>
      <c r="Q65" s="41" t="n">
        <f aca="false">IF(AND(E65&lt;&gt;"",DAY(E65)&gt;10),F65*0.00033*(DAY(E65)-10),0)</f>
        <v>0</v>
      </c>
    </row>
    <row r="66" customFormat="false" ht="15" hidden="false" customHeight="false" outlineLevel="0" collapsed="false">
      <c r="B66" s="30" t="n">
        <v>56</v>
      </c>
      <c r="C66" s="31" t="n">
        <v>2025</v>
      </c>
      <c r="D66" s="30" t="s">
        <v>44</v>
      </c>
      <c r="E66" s="32"/>
      <c r="F66" s="33" t="n">
        <f aca="false">Reajustes!H8</f>
        <v>1402.41872039997</v>
      </c>
      <c r="G66" s="25"/>
      <c r="H66" s="34" t="n">
        <f aca="false">O65-IF(G66="",0,G66)</f>
        <v>168289.486234362</v>
      </c>
      <c r="I66" s="19" t="n">
        <f aca="false">'Índices IGPM'!C61</f>
        <v>1209.451</v>
      </c>
      <c r="J66" s="35" t="n">
        <f aca="false">'Índices IGPM'!D61</f>
        <v>-0.00339986667512649</v>
      </c>
      <c r="K66" s="36"/>
      <c r="L66" s="34" t="n">
        <f aca="false">H66</f>
        <v>168289.486234362</v>
      </c>
      <c r="M66" s="36"/>
      <c r="N66" s="34" t="n">
        <f aca="false">H66</f>
        <v>168289.486234362</v>
      </c>
      <c r="O66" s="34" t="n">
        <f aca="false">H66</f>
        <v>168289.486234362</v>
      </c>
      <c r="P66" s="34" t="n">
        <f aca="false">IF(AND(E66&lt;&gt;"",DAY(E66)&gt;10),F66*0.02,0)</f>
        <v>0</v>
      </c>
      <c r="Q66" s="34" t="n">
        <f aca="false">IF(AND(E66&lt;&gt;"",DAY(E66)&gt;10),F66*0.00033*(DAY(E66)-10),0)</f>
        <v>0</v>
      </c>
    </row>
    <row r="67" customFormat="false" ht="15" hidden="false" customHeight="false" outlineLevel="0" collapsed="false">
      <c r="B67" s="37" t="n">
        <v>57</v>
      </c>
      <c r="C67" s="38" t="n">
        <v>2025</v>
      </c>
      <c r="D67" s="37" t="s">
        <v>45</v>
      </c>
      <c r="E67" s="39"/>
      <c r="F67" s="40" t="n">
        <f aca="false">Reajustes!H8</f>
        <v>1402.41872039997</v>
      </c>
      <c r="G67" s="25"/>
      <c r="H67" s="41" t="n">
        <f aca="false">O66-IF(G67="",0,G67)</f>
        <v>168289.486234362</v>
      </c>
      <c r="I67" s="42" t="n">
        <f aca="false">'Índices IGPM'!C62</f>
        <v>1212.354</v>
      </c>
      <c r="J67" s="43" t="n">
        <f aca="false">'Índices IGPM'!D62</f>
        <v>0.00240026259848478</v>
      </c>
      <c r="K67" s="44"/>
      <c r="L67" s="41" t="n">
        <f aca="false">H67</f>
        <v>168289.486234362</v>
      </c>
      <c r="M67" s="44"/>
      <c r="N67" s="41" t="n">
        <f aca="false">H67</f>
        <v>168289.486234362</v>
      </c>
      <c r="O67" s="41" t="n">
        <f aca="false">H67</f>
        <v>168289.486234362</v>
      </c>
      <c r="P67" s="41" t="n">
        <f aca="false">IF(AND(E67&lt;&gt;"",DAY(E67)&gt;10),F67*0.02,0)</f>
        <v>0</v>
      </c>
      <c r="Q67" s="41" t="n">
        <f aca="false">IF(AND(E67&lt;&gt;"",DAY(E67)&gt;10),F67*0.00033*(DAY(E67)-10),0)</f>
        <v>0</v>
      </c>
    </row>
    <row r="68" customFormat="false" ht="15" hidden="false" customHeight="false" outlineLevel="0" collapsed="false">
      <c r="B68" s="30" t="n">
        <v>58</v>
      </c>
      <c r="C68" s="31" t="n">
        <v>2025</v>
      </c>
      <c r="D68" s="30" t="s">
        <v>46</v>
      </c>
      <c r="E68" s="32"/>
      <c r="F68" s="33" t="n">
        <f aca="false">Reajustes!H8</f>
        <v>1402.41872039997</v>
      </c>
      <c r="G68" s="25"/>
      <c r="H68" s="34" t="n">
        <f aca="false">O67-IF(G68="",0,G68)</f>
        <v>168289.486234362</v>
      </c>
      <c r="I68" s="19" t="n">
        <f aca="false">'Índices IGPM'!C63</f>
        <v>1206.413</v>
      </c>
      <c r="J68" s="35" t="n">
        <f aca="false">'Índices IGPM'!D63</f>
        <v>-0.00490038388127563</v>
      </c>
      <c r="K68" s="36"/>
      <c r="L68" s="34" t="n">
        <f aca="false">H68</f>
        <v>168289.486234362</v>
      </c>
      <c r="M68" s="36"/>
      <c r="N68" s="34" t="n">
        <f aca="false">H68</f>
        <v>168289.486234362</v>
      </c>
      <c r="O68" s="34" t="n">
        <f aca="false">H68</f>
        <v>168289.486234362</v>
      </c>
      <c r="P68" s="34" t="n">
        <f aca="false">IF(AND(E68&lt;&gt;"",DAY(E68)&gt;10),F68*0.02,0)</f>
        <v>0</v>
      </c>
      <c r="Q68" s="34" t="n">
        <f aca="false">IF(AND(E68&lt;&gt;"",DAY(E68)&gt;10),F68*0.00033*(DAY(E68)-10),0)</f>
        <v>0</v>
      </c>
    </row>
    <row r="69" customFormat="false" ht="15" hidden="false" customHeight="false" outlineLevel="0" collapsed="false">
      <c r="B69" s="37" t="n">
        <v>59</v>
      </c>
      <c r="C69" s="38" t="n">
        <v>2025</v>
      </c>
      <c r="D69" s="37" t="s">
        <v>47</v>
      </c>
      <c r="E69" s="39"/>
      <c r="F69" s="40" t="n">
        <f aca="false">Reajustes!H8</f>
        <v>1402.41872039997</v>
      </c>
      <c r="G69" s="25"/>
      <c r="H69" s="41" t="n">
        <f aca="false">O68-IF(G69="",0,G69)</f>
        <v>168289.486234362</v>
      </c>
      <c r="I69" s="42" t="n">
        <f aca="false">'Índices IGPM'!C64</f>
        <v>1186.266</v>
      </c>
      <c r="J69" s="43" t="n">
        <f aca="false">'Índices IGPM'!D64</f>
        <v>-0.0166999195134667</v>
      </c>
      <c r="K69" s="44"/>
      <c r="L69" s="41" t="n">
        <f aca="false">H69</f>
        <v>168289.486234362</v>
      </c>
      <c r="M69" s="44"/>
      <c r="N69" s="41" t="n">
        <f aca="false">H69</f>
        <v>168289.486234362</v>
      </c>
      <c r="O69" s="41" t="n">
        <f aca="false">H69</f>
        <v>168289.486234362</v>
      </c>
      <c r="P69" s="41" t="n">
        <f aca="false">IF(AND(E69&lt;&gt;"",DAY(E69)&gt;10),F69*0.02,0)</f>
        <v>0</v>
      </c>
      <c r="Q69" s="41" t="n">
        <f aca="false">IF(AND(E69&lt;&gt;"",DAY(E69)&gt;10),F69*0.00033*(DAY(E69)-10),0)</f>
        <v>0</v>
      </c>
    </row>
    <row r="70" customFormat="false" ht="15" hidden="false" customHeight="false" outlineLevel="0" collapsed="false">
      <c r="B70" s="45" t="n">
        <v>60</v>
      </c>
      <c r="C70" s="46" t="n">
        <v>2025</v>
      </c>
      <c r="D70" s="45" t="s">
        <v>36</v>
      </c>
      <c r="E70" s="47"/>
      <c r="F70" s="48" t="n">
        <f aca="false">Reajustes!H8</f>
        <v>1402.41872039997</v>
      </c>
      <c r="G70" s="25"/>
      <c r="H70" s="49" t="n">
        <f aca="false">O69-IF(G70="",0,G70)</f>
        <v>168289.486234362</v>
      </c>
      <c r="I70" s="50" t="n">
        <f aca="false">'Índices IGPM'!C65</f>
        <v>1177.132</v>
      </c>
      <c r="J70" s="51" t="n">
        <f aca="false">'Índices IGPM'!D65</f>
        <v>-0.00769979077205282</v>
      </c>
      <c r="K70" s="51" t="n">
        <f aca="false">Reajustes!F8</f>
        <v>0.0295798263467659</v>
      </c>
      <c r="L70" s="49" t="n">
        <f aca="false">IF(K70=0,H70,H70*(1+K70))</f>
        <v>173267.460013161</v>
      </c>
      <c r="M70" s="51" t="n">
        <f aca="false">Reajustes!E9</f>
        <v>0.100338693716146</v>
      </c>
      <c r="N70" s="49" t="n">
        <f aca="false">L70*(1+M70)</f>
        <v>190652.890614396</v>
      </c>
      <c r="O70" s="52" t="n">
        <f aca="false">N70</f>
        <v>190652.890614396</v>
      </c>
      <c r="P70" s="49" t="n">
        <f aca="false">IF(AND(E70&lt;&gt;"",DAY(E70)&gt;10),F70*0.02,0)</f>
        <v>0</v>
      </c>
      <c r="Q70" s="49" t="n">
        <f aca="false">IF(AND(E70&lt;&gt;"",DAY(E70)&gt;10),F70*0.00033*(DAY(E70)-10),0)</f>
        <v>0</v>
      </c>
    </row>
    <row r="71" customFormat="false" ht="15" hidden="false" customHeight="false" outlineLevel="0" collapsed="false">
      <c r="B71" s="21" t="n">
        <v>61</v>
      </c>
      <c r="C71" s="22" t="n">
        <v>2025</v>
      </c>
      <c r="D71" s="21" t="s">
        <v>37</v>
      </c>
      <c r="E71" s="23"/>
      <c r="F71" s="24" t="n">
        <f aca="false">Reajustes!H9</f>
        <v>1588.78126541813</v>
      </c>
      <c r="G71" s="25"/>
      <c r="H71" s="26" t="n">
        <f aca="false">O70-IF(G71="",0,G71)</f>
        <v>190652.890614396</v>
      </c>
      <c r="I71" s="27" t="n">
        <f aca="false">'Índices IGPM'!C66</f>
        <v>1181.37</v>
      </c>
      <c r="J71" s="28" t="n">
        <f aca="false">'Índices IGPM'!D66</f>
        <v>0.00360027592487489</v>
      </c>
      <c r="K71" s="29"/>
      <c r="L71" s="26" t="n">
        <f aca="false">H71</f>
        <v>190652.890614396</v>
      </c>
      <c r="M71" s="29"/>
      <c r="N71" s="26" t="n">
        <f aca="false">H71</f>
        <v>190652.890614396</v>
      </c>
      <c r="O71" s="26" t="n">
        <f aca="false">H71</f>
        <v>190652.890614396</v>
      </c>
      <c r="P71" s="26" t="n">
        <f aca="false">IF(AND(E71&lt;&gt;"",DAY(E71)&gt;10),F71*0.02,0)</f>
        <v>0</v>
      </c>
      <c r="Q71" s="26" t="n">
        <f aca="false">IF(AND(E71&lt;&gt;"",DAY(E71)&gt;10),F71*0.00033*(DAY(E71)-10),0)</f>
        <v>0</v>
      </c>
    </row>
    <row r="72" customFormat="false" ht="15" hidden="false" customHeight="false" outlineLevel="0" collapsed="false">
      <c r="B72" s="30" t="n">
        <v>62</v>
      </c>
      <c r="C72" s="31" t="n">
        <v>2025</v>
      </c>
      <c r="D72" s="30" t="s">
        <v>38</v>
      </c>
      <c r="E72" s="32"/>
      <c r="F72" s="33" t="n">
        <f aca="false">Reajustes!H9</f>
        <v>1588.78126541813</v>
      </c>
      <c r="G72" s="25"/>
      <c r="H72" s="34" t="n">
        <f aca="false">O71-IF(G72="",0,G72)</f>
        <v>190652.890614396</v>
      </c>
      <c r="I72" s="19" t="n">
        <f aca="false">'Índices IGPM'!C67</f>
        <v>1186.331</v>
      </c>
      <c r="J72" s="35" t="n">
        <f aca="false">'Índices IGPM'!D67</f>
        <v>0.00419936175795899</v>
      </c>
      <c r="K72" s="36"/>
      <c r="L72" s="34" t="n">
        <f aca="false">H72</f>
        <v>190652.890614396</v>
      </c>
      <c r="M72" s="36"/>
      <c r="N72" s="34" t="n">
        <f aca="false">H72</f>
        <v>190652.890614396</v>
      </c>
      <c r="O72" s="34" t="n">
        <f aca="false">H72</f>
        <v>190652.890614396</v>
      </c>
      <c r="P72" s="34" t="n">
        <f aca="false">IF(AND(E72&lt;&gt;"",DAY(E72)&gt;10),F72*0.02,0)</f>
        <v>0</v>
      </c>
      <c r="Q72" s="34" t="n">
        <f aca="false">IF(AND(E72&lt;&gt;"",DAY(E72)&gt;10),F72*0.00033*(DAY(E72)-10),0)</f>
        <v>0</v>
      </c>
    </row>
    <row r="73" customFormat="false" ht="15" hidden="false" customHeight="false" outlineLevel="0" collapsed="false">
      <c r="B73" s="37" t="n">
        <v>63</v>
      </c>
      <c r="C73" s="38" t="n">
        <v>2025</v>
      </c>
      <c r="D73" s="37" t="s">
        <v>39</v>
      </c>
      <c r="E73" s="39"/>
      <c r="F73" s="40" t="n">
        <f aca="false">Reajustes!H9</f>
        <v>1588.78126541813</v>
      </c>
      <c r="G73" s="25"/>
      <c r="H73" s="41" t="n">
        <f aca="false">O72-IF(G73="",0,G73)</f>
        <v>190652.890614396</v>
      </c>
      <c r="I73" s="42" t="n">
        <f aca="false">'Índices IGPM'!C68</f>
        <v>1182.061</v>
      </c>
      <c r="J73" s="43" t="n">
        <f aca="false">'Índices IGPM'!D68</f>
        <v>-0.00359933273260159</v>
      </c>
      <c r="K73" s="44"/>
      <c r="L73" s="41" t="n">
        <f aca="false">H73</f>
        <v>190652.890614396</v>
      </c>
      <c r="M73" s="44"/>
      <c r="N73" s="41" t="n">
        <f aca="false">H73</f>
        <v>190652.890614396</v>
      </c>
      <c r="O73" s="41" t="n">
        <f aca="false">H73</f>
        <v>190652.890614396</v>
      </c>
      <c r="P73" s="41" t="n">
        <f aca="false">IF(AND(E73&lt;&gt;"",DAY(E73)&gt;10),F73*0.02,0)</f>
        <v>0</v>
      </c>
      <c r="Q73" s="41" t="n">
        <f aca="false">IF(AND(E73&lt;&gt;"",DAY(E73)&gt;10),F73*0.00033*(DAY(E73)-10),0)</f>
        <v>0</v>
      </c>
    </row>
    <row r="74" customFormat="false" ht="15" hidden="false" customHeight="false" outlineLevel="0" collapsed="false">
      <c r="B74" s="30" t="n">
        <v>64</v>
      </c>
      <c r="C74" s="31" t="n">
        <v>2025</v>
      </c>
      <c r="D74" s="30" t="s">
        <v>40</v>
      </c>
      <c r="E74" s="32"/>
      <c r="F74" s="33" t="n">
        <f aca="false">Reajustes!H9</f>
        <v>1588.78126541813</v>
      </c>
      <c r="G74" s="25"/>
      <c r="H74" s="34" t="n">
        <f aca="false">O73-IF(G74="",0,G74)</f>
        <v>190652.890614396</v>
      </c>
      <c r="I74" s="19" t="n">
        <f aca="false">'Índices IGPM'!C69</f>
        <v>1185.252</v>
      </c>
      <c r="J74" s="35" t="n">
        <f aca="false">'Índices IGPM'!D69</f>
        <v>0.0026995222750772</v>
      </c>
      <c r="K74" s="36"/>
      <c r="L74" s="34" t="n">
        <f aca="false">H74</f>
        <v>190652.890614396</v>
      </c>
      <c r="M74" s="36"/>
      <c r="N74" s="34" t="n">
        <f aca="false">H74</f>
        <v>190652.890614396</v>
      </c>
      <c r="O74" s="34" t="n">
        <f aca="false">H74</f>
        <v>190652.890614396</v>
      </c>
      <c r="P74" s="34" t="n">
        <f aca="false">IF(AND(E74&lt;&gt;"",DAY(E74)&gt;10),F74*0.02,0)</f>
        <v>0</v>
      </c>
      <c r="Q74" s="34" t="n">
        <f aca="false">IF(AND(E74&lt;&gt;"",DAY(E74)&gt;10),F74*0.00033*(DAY(E74)-10),0)</f>
        <v>0</v>
      </c>
    </row>
    <row r="75" customFormat="false" ht="15" hidden="false" customHeight="false" outlineLevel="0" collapsed="false">
      <c r="B75" s="37" t="n">
        <v>65</v>
      </c>
      <c r="C75" s="38" t="n">
        <v>2025</v>
      </c>
      <c r="D75" s="37" t="s">
        <v>41</v>
      </c>
      <c r="E75" s="39"/>
      <c r="F75" s="40" t="n">
        <f aca="false">Reajustes!H9</f>
        <v>1588.78126541813</v>
      </c>
      <c r="G75" s="25"/>
      <c r="H75" s="41" t="n">
        <f aca="false">O74-IF(G75="",0,G75)</f>
        <v>190652.890614396</v>
      </c>
      <c r="I75" s="42" t="n">
        <f aca="false">'Índices IGPM'!C70</f>
        <v>1185.134</v>
      </c>
      <c r="J75" s="43" t="n">
        <f aca="false">'Índices IGPM'!D70</f>
        <v>-9.95568874804161E-005</v>
      </c>
      <c r="K75" s="44"/>
      <c r="L75" s="41" t="n">
        <f aca="false">H75</f>
        <v>190652.890614396</v>
      </c>
      <c r="M75" s="44"/>
      <c r="N75" s="41" t="n">
        <f aca="false">H75</f>
        <v>190652.890614396</v>
      </c>
      <c r="O75" s="41" t="n">
        <f aca="false">H75</f>
        <v>190652.890614396</v>
      </c>
      <c r="P75" s="41" t="n">
        <f aca="false">IF(AND(E75&lt;&gt;"",DAY(E75)&gt;10),F75*0.02,0)</f>
        <v>0</v>
      </c>
      <c r="Q75" s="41" t="n">
        <f aca="false">IF(AND(E75&lt;&gt;"",DAY(E75)&gt;10),F75*0.00033*(DAY(E75)-10),0)</f>
        <v>0</v>
      </c>
    </row>
    <row r="76" customFormat="false" ht="15" hidden="false" customHeight="false" outlineLevel="0" collapsed="false">
      <c r="B76" s="30" t="n">
        <v>66</v>
      </c>
      <c r="C76" s="31" t="n">
        <v>2026</v>
      </c>
      <c r="D76" s="30" t="s">
        <v>42</v>
      </c>
      <c r="E76" s="32"/>
      <c r="F76" s="33" t="n">
        <f aca="false">Reajustes!H9</f>
        <v>1588.78126541813</v>
      </c>
      <c r="G76" s="25"/>
      <c r="H76" s="34" t="n">
        <f aca="false">O75-IF(G76="",0,G76)</f>
        <v>190652.890614396</v>
      </c>
      <c r="I76" s="19" t="n">
        <f aca="false">'Índices IGPM'!C71</f>
        <v>1189.993</v>
      </c>
      <c r="J76" s="35" t="n">
        <f aca="false">'Índices IGPM'!D71</f>
        <v>0.00409995831694975</v>
      </c>
      <c r="K76" s="36"/>
      <c r="L76" s="34" t="n">
        <f aca="false">H76</f>
        <v>190652.890614396</v>
      </c>
      <c r="M76" s="36"/>
      <c r="N76" s="34" t="n">
        <f aca="false">H76</f>
        <v>190652.890614396</v>
      </c>
      <c r="O76" s="34" t="n">
        <f aca="false">H76</f>
        <v>190652.890614396</v>
      </c>
      <c r="P76" s="34" t="n">
        <f aca="false">IF(AND(E76&lt;&gt;"",DAY(E76)&gt;10),F76*0.02,0)</f>
        <v>0</v>
      </c>
      <c r="Q76" s="34" t="n">
        <f aca="false">IF(AND(E76&lt;&gt;"",DAY(E76)&gt;10),F76*0.00033*(DAY(E76)-10),0)</f>
        <v>0</v>
      </c>
    </row>
    <row r="77" customFormat="false" ht="15" hidden="false" customHeight="false" outlineLevel="0" collapsed="false">
      <c r="B77" s="37" t="n">
        <v>67</v>
      </c>
      <c r="C77" s="38" t="n">
        <v>2026</v>
      </c>
      <c r="D77" s="37" t="s">
        <v>43</v>
      </c>
      <c r="E77" s="39"/>
      <c r="F77" s="40" t="n">
        <f aca="false">Reajustes!H9</f>
        <v>1588.78126541813</v>
      </c>
      <c r="G77" s="25"/>
      <c r="H77" s="41" t="n">
        <f aca="false">O76-IF(G77="",0,G77)</f>
        <v>190652.890614396</v>
      </c>
      <c r="I77" s="42" t="n">
        <f aca="false">'Índices IGPM'!C72</f>
        <v>1181.306</v>
      </c>
      <c r="J77" s="43" t="n">
        <f aca="false">'Índices IGPM'!D72</f>
        <v>-0.00730004294142898</v>
      </c>
      <c r="K77" s="44"/>
      <c r="L77" s="41" t="n">
        <f aca="false">H77</f>
        <v>190652.890614396</v>
      </c>
      <c r="M77" s="44"/>
      <c r="N77" s="41" t="n">
        <f aca="false">H77</f>
        <v>190652.890614396</v>
      </c>
      <c r="O77" s="41" t="n">
        <f aca="false">H77</f>
        <v>190652.890614396</v>
      </c>
      <c r="P77" s="41" t="n">
        <f aca="false">IF(AND(E77&lt;&gt;"",DAY(E77)&gt;10),F77*0.02,0)</f>
        <v>0</v>
      </c>
      <c r="Q77" s="41" t="n">
        <f aca="false">IF(AND(E77&lt;&gt;"",DAY(E77)&gt;10),F77*0.00033*(DAY(E77)-10),0)</f>
        <v>0</v>
      </c>
    </row>
    <row r="78" customFormat="false" ht="15" hidden="false" customHeight="false" outlineLevel="0" collapsed="false">
      <c r="B78" s="30" t="n">
        <v>68</v>
      </c>
      <c r="C78" s="31" t="n">
        <v>2026</v>
      </c>
      <c r="D78" s="30" t="s">
        <v>44</v>
      </c>
      <c r="E78" s="32"/>
      <c r="F78" s="33" t="n">
        <f aca="false">Reajustes!H9</f>
        <v>1588.78126541813</v>
      </c>
      <c r="G78" s="25"/>
      <c r="H78" s="34" t="n">
        <f aca="false">O77-IF(G78="",0,G78)</f>
        <v>190652.890614396</v>
      </c>
      <c r="I78" s="53"/>
      <c r="J78" s="54"/>
      <c r="K78" s="36"/>
      <c r="L78" s="34" t="n">
        <f aca="false">H78</f>
        <v>190652.890614396</v>
      </c>
      <c r="M78" s="36"/>
      <c r="N78" s="34" t="n">
        <f aca="false">H78</f>
        <v>190652.890614396</v>
      </c>
      <c r="O78" s="34" t="n">
        <f aca="false">H78</f>
        <v>190652.890614396</v>
      </c>
      <c r="P78" s="34" t="n">
        <f aca="false">IF(AND(E78&lt;&gt;"",DAY(E78)&gt;10),F78*0.02,0)</f>
        <v>0</v>
      </c>
      <c r="Q78" s="34" t="n">
        <f aca="false">IF(AND(E78&lt;&gt;"",DAY(E78)&gt;10),F78*0.00033*(DAY(E78)-10),0)</f>
        <v>0</v>
      </c>
    </row>
    <row r="79" customFormat="false" ht="15" hidden="false" customHeight="false" outlineLevel="0" collapsed="false">
      <c r="B79" s="37" t="n">
        <v>69</v>
      </c>
      <c r="C79" s="38" t="n">
        <v>2026</v>
      </c>
      <c r="D79" s="37" t="s">
        <v>45</v>
      </c>
      <c r="E79" s="39"/>
      <c r="F79" s="40" t="n">
        <f aca="false">Reajustes!H9</f>
        <v>1588.78126541813</v>
      </c>
      <c r="G79" s="25"/>
      <c r="H79" s="41" t="n">
        <f aca="false">O78-IF(G79="",0,G79)</f>
        <v>190652.890614396</v>
      </c>
      <c r="I79" s="55"/>
      <c r="J79" s="56"/>
      <c r="K79" s="44"/>
      <c r="L79" s="41" t="n">
        <f aca="false">H79</f>
        <v>190652.890614396</v>
      </c>
      <c r="M79" s="44"/>
      <c r="N79" s="41" t="n">
        <f aca="false">H79</f>
        <v>190652.890614396</v>
      </c>
      <c r="O79" s="41" t="n">
        <f aca="false">H79</f>
        <v>190652.890614396</v>
      </c>
      <c r="P79" s="41" t="n">
        <f aca="false">IF(AND(E79&lt;&gt;"",DAY(E79)&gt;10),F79*0.02,0)</f>
        <v>0</v>
      </c>
      <c r="Q79" s="41" t="n">
        <f aca="false">IF(AND(E79&lt;&gt;"",DAY(E79)&gt;10),F79*0.00033*(DAY(E79)-10),0)</f>
        <v>0</v>
      </c>
    </row>
    <row r="80" customFormat="false" ht="15" hidden="false" customHeight="false" outlineLevel="0" collapsed="false">
      <c r="B80" s="30" t="n">
        <v>70</v>
      </c>
      <c r="C80" s="31" t="n">
        <v>2026</v>
      </c>
      <c r="D80" s="30" t="s">
        <v>46</v>
      </c>
      <c r="E80" s="32"/>
      <c r="F80" s="33" t="n">
        <f aca="false">Reajustes!H9</f>
        <v>1588.78126541813</v>
      </c>
      <c r="G80" s="25"/>
      <c r="H80" s="34" t="n">
        <f aca="false">O79-IF(G80="",0,G80)</f>
        <v>190652.890614396</v>
      </c>
      <c r="I80" s="53"/>
      <c r="J80" s="54"/>
      <c r="K80" s="36"/>
      <c r="L80" s="34" t="n">
        <f aca="false">H80</f>
        <v>190652.890614396</v>
      </c>
      <c r="M80" s="36"/>
      <c r="N80" s="34" t="n">
        <f aca="false">H80</f>
        <v>190652.890614396</v>
      </c>
      <c r="O80" s="34" t="n">
        <f aca="false">H80</f>
        <v>190652.890614396</v>
      </c>
      <c r="P80" s="34" t="n">
        <f aca="false">IF(AND(E80&lt;&gt;"",DAY(E80)&gt;10),F80*0.02,0)</f>
        <v>0</v>
      </c>
      <c r="Q80" s="34" t="n">
        <f aca="false">IF(AND(E80&lt;&gt;"",DAY(E80)&gt;10),F80*0.00033*(DAY(E80)-10),0)</f>
        <v>0</v>
      </c>
    </row>
    <row r="81" customFormat="false" ht="15" hidden="false" customHeight="false" outlineLevel="0" collapsed="false">
      <c r="B81" s="37" t="n">
        <v>71</v>
      </c>
      <c r="C81" s="38" t="n">
        <v>2026</v>
      </c>
      <c r="D81" s="37" t="s">
        <v>47</v>
      </c>
      <c r="E81" s="39"/>
      <c r="F81" s="40" t="n">
        <f aca="false">Reajustes!H9</f>
        <v>1588.78126541813</v>
      </c>
      <c r="G81" s="25"/>
      <c r="H81" s="41" t="n">
        <f aca="false">O80-IF(G81="",0,G81)</f>
        <v>190652.890614396</v>
      </c>
      <c r="I81" s="55"/>
      <c r="J81" s="56"/>
      <c r="K81" s="44"/>
      <c r="L81" s="41" t="n">
        <f aca="false">H81</f>
        <v>190652.890614396</v>
      </c>
      <c r="M81" s="44"/>
      <c r="N81" s="41" t="n">
        <f aca="false">H81</f>
        <v>190652.890614396</v>
      </c>
      <c r="O81" s="41" t="n">
        <f aca="false">H81</f>
        <v>190652.890614396</v>
      </c>
      <c r="P81" s="41" t="n">
        <f aca="false">IF(AND(E81&lt;&gt;"",DAY(E81)&gt;10),F81*0.02,0)</f>
        <v>0</v>
      </c>
      <c r="Q81" s="41" t="n">
        <f aca="false">IF(AND(E81&lt;&gt;"",DAY(E81)&gt;10),F81*0.00033*(DAY(E81)-10),0)</f>
        <v>0</v>
      </c>
    </row>
    <row r="82" customFormat="false" ht="15" hidden="false" customHeight="false" outlineLevel="0" collapsed="false">
      <c r="B82" s="45" t="n">
        <v>72</v>
      </c>
      <c r="C82" s="46" t="n">
        <v>2026</v>
      </c>
      <c r="D82" s="45" t="s">
        <v>36</v>
      </c>
      <c r="E82" s="47"/>
      <c r="F82" s="48" t="n">
        <f aca="false">Reajustes!H9</f>
        <v>1588.78126541813</v>
      </c>
      <c r="G82" s="25"/>
      <c r="H82" s="49" t="n">
        <f aca="false">O81-IF(G82="",0,G82)</f>
        <v>190652.890614396</v>
      </c>
      <c r="I82" s="57"/>
      <c r="J82" s="58"/>
      <c r="K82" s="51" t="n">
        <f aca="false">Reajustes!F9</f>
        <v>0</v>
      </c>
      <c r="L82" s="49" t="n">
        <f aca="false">IF(K82=0,H82,H82*(1+K82))</f>
        <v>190652.890614396</v>
      </c>
      <c r="M82" s="51" t="n">
        <f aca="false">Reajustes!E10</f>
        <v>0.106906226923436</v>
      </c>
      <c r="N82" s="49" t="n">
        <f aca="false">L82*(1+M82)</f>
        <v>211034.871802028</v>
      </c>
      <c r="O82" s="52" t="n">
        <f aca="false">N82</f>
        <v>211034.871802028</v>
      </c>
      <c r="P82" s="49" t="n">
        <f aca="false">IF(AND(E82&lt;&gt;"",DAY(E82)&gt;10),F82*0.02,0)</f>
        <v>0</v>
      </c>
      <c r="Q82" s="49" t="n">
        <f aca="false">IF(AND(E82&lt;&gt;"",DAY(E82)&gt;10),F82*0.00033*(DAY(E82)-10),0)</f>
        <v>0</v>
      </c>
    </row>
    <row r="83" customFormat="false" ht="15" hidden="false" customHeight="false" outlineLevel="0" collapsed="false">
      <c r="B83" s="21" t="n">
        <v>73</v>
      </c>
      <c r="C83" s="22" t="n">
        <v>2026</v>
      </c>
      <c r="D83" s="21" t="s">
        <v>37</v>
      </c>
      <c r="E83" s="23"/>
      <c r="F83" s="24" t="n">
        <f aca="false">Reajustes!H10</f>
        <v>1588.78126541813</v>
      </c>
      <c r="G83" s="25"/>
      <c r="H83" s="26" t="n">
        <f aca="false">O82-IF(G83="",0,G83)</f>
        <v>211034.871802028</v>
      </c>
      <c r="I83" s="59"/>
      <c r="J83" s="60"/>
      <c r="K83" s="29"/>
      <c r="L83" s="26" t="n">
        <f aca="false">H83</f>
        <v>211034.871802028</v>
      </c>
      <c r="M83" s="29"/>
      <c r="N83" s="26" t="n">
        <f aca="false">H83</f>
        <v>211034.871802028</v>
      </c>
      <c r="O83" s="26" t="n">
        <f aca="false">H83</f>
        <v>211034.871802028</v>
      </c>
      <c r="P83" s="26" t="n">
        <f aca="false">IF(AND(E83&lt;&gt;"",DAY(E83)&gt;10),F83*0.02,0)</f>
        <v>0</v>
      </c>
      <c r="Q83" s="26" t="n">
        <f aca="false">IF(AND(E83&lt;&gt;"",DAY(E83)&gt;10),F83*0.00033*(DAY(E83)-10),0)</f>
        <v>0</v>
      </c>
    </row>
    <row r="84" customFormat="false" ht="15" hidden="false" customHeight="false" outlineLevel="0" collapsed="false">
      <c r="B84" s="30" t="n">
        <v>74</v>
      </c>
      <c r="C84" s="31" t="n">
        <v>2026</v>
      </c>
      <c r="D84" s="30" t="s">
        <v>38</v>
      </c>
      <c r="E84" s="32"/>
      <c r="F84" s="33" t="n">
        <f aca="false">Reajustes!H10</f>
        <v>1588.78126541813</v>
      </c>
      <c r="G84" s="25"/>
      <c r="H84" s="34" t="n">
        <f aca="false">O83-IF(G84="",0,G84)</f>
        <v>211034.871802028</v>
      </c>
      <c r="I84" s="53"/>
      <c r="J84" s="54"/>
      <c r="K84" s="36"/>
      <c r="L84" s="34" t="n">
        <f aca="false">H84</f>
        <v>211034.871802028</v>
      </c>
      <c r="M84" s="36"/>
      <c r="N84" s="34" t="n">
        <f aca="false">H84</f>
        <v>211034.871802028</v>
      </c>
      <c r="O84" s="34" t="n">
        <f aca="false">H84</f>
        <v>211034.871802028</v>
      </c>
      <c r="P84" s="34" t="n">
        <f aca="false">IF(AND(E84&lt;&gt;"",DAY(E84)&gt;10),F84*0.02,0)</f>
        <v>0</v>
      </c>
      <c r="Q84" s="34" t="n">
        <f aca="false">IF(AND(E84&lt;&gt;"",DAY(E84)&gt;10),F84*0.00033*(DAY(E84)-10),0)</f>
        <v>0</v>
      </c>
    </row>
    <row r="85" customFormat="false" ht="15" hidden="false" customHeight="false" outlineLevel="0" collapsed="false">
      <c r="B85" s="37" t="n">
        <v>75</v>
      </c>
      <c r="C85" s="38" t="n">
        <v>2026</v>
      </c>
      <c r="D85" s="37" t="s">
        <v>39</v>
      </c>
      <c r="E85" s="39"/>
      <c r="F85" s="40" t="n">
        <f aca="false">Reajustes!H10</f>
        <v>1588.78126541813</v>
      </c>
      <c r="G85" s="25"/>
      <c r="H85" s="41" t="n">
        <f aca="false">O84-IF(G85="",0,G85)</f>
        <v>211034.871802028</v>
      </c>
      <c r="I85" s="55"/>
      <c r="J85" s="56"/>
      <c r="K85" s="44"/>
      <c r="L85" s="41" t="n">
        <f aca="false">H85</f>
        <v>211034.871802028</v>
      </c>
      <c r="M85" s="44"/>
      <c r="N85" s="41" t="n">
        <f aca="false">H85</f>
        <v>211034.871802028</v>
      </c>
      <c r="O85" s="41" t="n">
        <f aca="false">H85</f>
        <v>211034.871802028</v>
      </c>
      <c r="P85" s="41" t="n">
        <f aca="false">IF(AND(E85&lt;&gt;"",DAY(E85)&gt;10),F85*0.02,0)</f>
        <v>0</v>
      </c>
      <c r="Q85" s="41" t="n">
        <f aca="false">IF(AND(E85&lt;&gt;"",DAY(E85)&gt;10),F85*0.00033*(DAY(E85)-10),0)</f>
        <v>0</v>
      </c>
    </row>
    <row r="86" customFormat="false" ht="15" hidden="false" customHeight="false" outlineLevel="0" collapsed="false">
      <c r="B86" s="30" t="n">
        <v>76</v>
      </c>
      <c r="C86" s="31" t="n">
        <v>2026</v>
      </c>
      <c r="D86" s="30" t="s">
        <v>40</v>
      </c>
      <c r="E86" s="32"/>
      <c r="F86" s="33" t="n">
        <f aca="false">Reajustes!H10</f>
        <v>1588.78126541813</v>
      </c>
      <c r="G86" s="25"/>
      <c r="H86" s="34" t="n">
        <f aca="false">O85-IF(G86="",0,G86)</f>
        <v>211034.871802028</v>
      </c>
      <c r="I86" s="53"/>
      <c r="J86" s="54"/>
      <c r="K86" s="36"/>
      <c r="L86" s="34" t="n">
        <f aca="false">H86</f>
        <v>211034.871802028</v>
      </c>
      <c r="M86" s="36"/>
      <c r="N86" s="34" t="n">
        <f aca="false">H86</f>
        <v>211034.871802028</v>
      </c>
      <c r="O86" s="34" t="n">
        <f aca="false">H86</f>
        <v>211034.871802028</v>
      </c>
      <c r="P86" s="34" t="n">
        <f aca="false">IF(AND(E86&lt;&gt;"",DAY(E86)&gt;10),F86*0.02,0)</f>
        <v>0</v>
      </c>
      <c r="Q86" s="34" t="n">
        <f aca="false">IF(AND(E86&lt;&gt;"",DAY(E86)&gt;10),F86*0.00033*(DAY(E86)-10),0)</f>
        <v>0</v>
      </c>
    </row>
    <row r="87" customFormat="false" ht="15" hidden="false" customHeight="false" outlineLevel="0" collapsed="false">
      <c r="B87" s="37" t="n">
        <v>77</v>
      </c>
      <c r="C87" s="38" t="n">
        <v>2026</v>
      </c>
      <c r="D87" s="37" t="s">
        <v>41</v>
      </c>
      <c r="E87" s="39"/>
      <c r="F87" s="40" t="n">
        <f aca="false">Reajustes!H10</f>
        <v>1588.78126541813</v>
      </c>
      <c r="G87" s="25"/>
      <c r="H87" s="41" t="n">
        <f aca="false">O86-IF(G87="",0,G87)</f>
        <v>211034.871802028</v>
      </c>
      <c r="I87" s="55"/>
      <c r="J87" s="56"/>
      <c r="K87" s="44"/>
      <c r="L87" s="41" t="n">
        <f aca="false">H87</f>
        <v>211034.871802028</v>
      </c>
      <c r="M87" s="44"/>
      <c r="N87" s="41" t="n">
        <f aca="false">H87</f>
        <v>211034.871802028</v>
      </c>
      <c r="O87" s="41" t="n">
        <f aca="false">H87</f>
        <v>211034.871802028</v>
      </c>
      <c r="P87" s="41" t="n">
        <f aca="false">IF(AND(E87&lt;&gt;"",DAY(E87)&gt;10),F87*0.02,0)</f>
        <v>0</v>
      </c>
      <c r="Q87" s="41" t="n">
        <f aca="false">IF(AND(E87&lt;&gt;"",DAY(E87)&gt;10),F87*0.00033*(DAY(E87)-10),0)</f>
        <v>0</v>
      </c>
    </row>
    <row r="88" customFormat="false" ht="15" hidden="false" customHeight="false" outlineLevel="0" collapsed="false">
      <c r="B88" s="30" t="n">
        <v>78</v>
      </c>
      <c r="C88" s="31" t="n">
        <v>2027</v>
      </c>
      <c r="D88" s="30" t="s">
        <v>42</v>
      </c>
      <c r="E88" s="32"/>
      <c r="F88" s="33" t="n">
        <f aca="false">Reajustes!H10</f>
        <v>1588.78126541813</v>
      </c>
      <c r="G88" s="25"/>
      <c r="H88" s="34" t="n">
        <f aca="false">O87-IF(G88="",0,G88)</f>
        <v>211034.871802028</v>
      </c>
      <c r="I88" s="53"/>
      <c r="J88" s="54"/>
      <c r="K88" s="36"/>
      <c r="L88" s="34" t="n">
        <f aca="false">H88</f>
        <v>211034.871802028</v>
      </c>
      <c r="M88" s="36"/>
      <c r="N88" s="34" t="n">
        <f aca="false">H88</f>
        <v>211034.871802028</v>
      </c>
      <c r="O88" s="34" t="n">
        <f aca="false">H88</f>
        <v>211034.871802028</v>
      </c>
      <c r="P88" s="34" t="n">
        <f aca="false">IF(AND(E88&lt;&gt;"",DAY(E88)&gt;10),F88*0.02,0)</f>
        <v>0</v>
      </c>
      <c r="Q88" s="34" t="n">
        <f aca="false">IF(AND(E88&lt;&gt;"",DAY(E88)&gt;10),F88*0.00033*(DAY(E88)-10),0)</f>
        <v>0</v>
      </c>
    </row>
    <row r="89" customFormat="false" ht="15" hidden="false" customHeight="false" outlineLevel="0" collapsed="false">
      <c r="B89" s="37" t="n">
        <v>79</v>
      </c>
      <c r="C89" s="38" t="n">
        <v>2027</v>
      </c>
      <c r="D89" s="37" t="s">
        <v>43</v>
      </c>
      <c r="E89" s="39"/>
      <c r="F89" s="40" t="n">
        <f aca="false">Reajustes!H10</f>
        <v>1588.78126541813</v>
      </c>
      <c r="G89" s="25"/>
      <c r="H89" s="41" t="n">
        <f aca="false">O88-IF(G89="",0,G89)</f>
        <v>211034.871802028</v>
      </c>
      <c r="I89" s="55"/>
      <c r="J89" s="56"/>
      <c r="K89" s="44"/>
      <c r="L89" s="41" t="n">
        <f aca="false">H89</f>
        <v>211034.871802028</v>
      </c>
      <c r="M89" s="44"/>
      <c r="N89" s="41" t="n">
        <f aca="false">H89</f>
        <v>211034.871802028</v>
      </c>
      <c r="O89" s="41" t="n">
        <f aca="false">H89</f>
        <v>211034.871802028</v>
      </c>
      <c r="P89" s="41" t="n">
        <f aca="false">IF(AND(E89&lt;&gt;"",DAY(E89)&gt;10),F89*0.02,0)</f>
        <v>0</v>
      </c>
      <c r="Q89" s="41" t="n">
        <f aca="false">IF(AND(E89&lt;&gt;"",DAY(E89)&gt;10),F89*0.00033*(DAY(E89)-10),0)</f>
        <v>0</v>
      </c>
    </row>
    <row r="90" customFormat="false" ht="15" hidden="false" customHeight="false" outlineLevel="0" collapsed="false">
      <c r="B90" s="30" t="n">
        <v>80</v>
      </c>
      <c r="C90" s="31" t="n">
        <v>2027</v>
      </c>
      <c r="D90" s="30" t="s">
        <v>44</v>
      </c>
      <c r="E90" s="32"/>
      <c r="F90" s="33" t="n">
        <f aca="false">Reajustes!H10</f>
        <v>1588.78126541813</v>
      </c>
      <c r="G90" s="25"/>
      <c r="H90" s="34" t="n">
        <f aca="false">O89-IF(G90="",0,G90)</f>
        <v>211034.871802028</v>
      </c>
      <c r="I90" s="53"/>
      <c r="J90" s="54"/>
      <c r="K90" s="36"/>
      <c r="L90" s="34" t="n">
        <f aca="false">H90</f>
        <v>211034.871802028</v>
      </c>
      <c r="M90" s="36"/>
      <c r="N90" s="34" t="n">
        <f aca="false">H90</f>
        <v>211034.871802028</v>
      </c>
      <c r="O90" s="34" t="n">
        <f aca="false">H90</f>
        <v>211034.871802028</v>
      </c>
      <c r="P90" s="34" t="n">
        <f aca="false">IF(AND(E90&lt;&gt;"",DAY(E90)&gt;10),F90*0.02,0)</f>
        <v>0</v>
      </c>
      <c r="Q90" s="34" t="n">
        <f aca="false">IF(AND(E90&lt;&gt;"",DAY(E90)&gt;10),F90*0.00033*(DAY(E90)-10),0)</f>
        <v>0</v>
      </c>
    </row>
    <row r="91" customFormat="false" ht="15" hidden="false" customHeight="false" outlineLevel="0" collapsed="false">
      <c r="B91" s="37" t="n">
        <v>81</v>
      </c>
      <c r="C91" s="38" t="n">
        <v>2027</v>
      </c>
      <c r="D91" s="37" t="s">
        <v>45</v>
      </c>
      <c r="E91" s="39"/>
      <c r="F91" s="40" t="n">
        <f aca="false">Reajustes!H10</f>
        <v>1588.78126541813</v>
      </c>
      <c r="G91" s="25"/>
      <c r="H91" s="41" t="n">
        <f aca="false">O90-IF(G91="",0,G91)</f>
        <v>211034.871802028</v>
      </c>
      <c r="I91" s="55"/>
      <c r="J91" s="56"/>
      <c r="K91" s="44"/>
      <c r="L91" s="41" t="n">
        <f aca="false">H91</f>
        <v>211034.871802028</v>
      </c>
      <c r="M91" s="44"/>
      <c r="N91" s="41" t="n">
        <f aca="false">H91</f>
        <v>211034.871802028</v>
      </c>
      <c r="O91" s="41" t="n">
        <f aca="false">H91</f>
        <v>211034.871802028</v>
      </c>
      <c r="P91" s="41" t="n">
        <f aca="false">IF(AND(E91&lt;&gt;"",DAY(E91)&gt;10),F91*0.02,0)</f>
        <v>0</v>
      </c>
      <c r="Q91" s="41" t="n">
        <f aca="false">IF(AND(E91&lt;&gt;"",DAY(E91)&gt;10),F91*0.00033*(DAY(E91)-10),0)</f>
        <v>0</v>
      </c>
    </row>
    <row r="92" customFormat="false" ht="15" hidden="false" customHeight="false" outlineLevel="0" collapsed="false">
      <c r="B92" s="30" t="n">
        <v>82</v>
      </c>
      <c r="C92" s="31" t="n">
        <v>2027</v>
      </c>
      <c r="D92" s="30" t="s">
        <v>46</v>
      </c>
      <c r="E92" s="32"/>
      <c r="F92" s="33" t="n">
        <f aca="false">Reajustes!H10</f>
        <v>1588.78126541813</v>
      </c>
      <c r="G92" s="25"/>
      <c r="H92" s="34" t="n">
        <f aca="false">O91-IF(G92="",0,G92)</f>
        <v>211034.871802028</v>
      </c>
      <c r="I92" s="53"/>
      <c r="J92" s="54"/>
      <c r="K92" s="36"/>
      <c r="L92" s="34" t="n">
        <f aca="false">H92</f>
        <v>211034.871802028</v>
      </c>
      <c r="M92" s="36"/>
      <c r="N92" s="34" t="n">
        <f aca="false">H92</f>
        <v>211034.871802028</v>
      </c>
      <c r="O92" s="34" t="n">
        <f aca="false">H92</f>
        <v>211034.871802028</v>
      </c>
      <c r="P92" s="34" t="n">
        <f aca="false">IF(AND(E92&lt;&gt;"",DAY(E92)&gt;10),F92*0.02,0)</f>
        <v>0</v>
      </c>
      <c r="Q92" s="34" t="n">
        <f aca="false">IF(AND(E92&lt;&gt;"",DAY(E92)&gt;10),F92*0.00033*(DAY(E92)-10),0)</f>
        <v>0</v>
      </c>
    </row>
    <row r="93" customFormat="false" ht="15" hidden="false" customHeight="false" outlineLevel="0" collapsed="false">
      <c r="B93" s="37" t="n">
        <v>83</v>
      </c>
      <c r="C93" s="38" t="n">
        <v>2027</v>
      </c>
      <c r="D93" s="37" t="s">
        <v>47</v>
      </c>
      <c r="E93" s="39"/>
      <c r="F93" s="40" t="n">
        <f aca="false">Reajustes!H10</f>
        <v>1588.78126541813</v>
      </c>
      <c r="G93" s="25"/>
      <c r="H93" s="41" t="n">
        <f aca="false">O92-IF(G93="",0,G93)</f>
        <v>211034.871802028</v>
      </c>
      <c r="I93" s="55"/>
      <c r="J93" s="56"/>
      <c r="K93" s="44"/>
      <c r="L93" s="41" t="n">
        <f aca="false">H93</f>
        <v>211034.871802028</v>
      </c>
      <c r="M93" s="44"/>
      <c r="N93" s="41" t="n">
        <f aca="false">H93</f>
        <v>211034.871802028</v>
      </c>
      <c r="O93" s="41" t="n">
        <f aca="false">H93</f>
        <v>211034.871802028</v>
      </c>
      <c r="P93" s="41" t="n">
        <f aca="false">IF(AND(E93&lt;&gt;"",DAY(E93)&gt;10),F93*0.02,0)</f>
        <v>0</v>
      </c>
      <c r="Q93" s="41" t="n">
        <f aca="false">IF(AND(E93&lt;&gt;"",DAY(E93)&gt;10),F93*0.00033*(DAY(E93)-10),0)</f>
        <v>0</v>
      </c>
    </row>
    <row r="94" customFormat="false" ht="15" hidden="false" customHeight="false" outlineLevel="0" collapsed="false">
      <c r="B94" s="45" t="n">
        <v>84</v>
      </c>
      <c r="C94" s="46" t="n">
        <v>2027</v>
      </c>
      <c r="D94" s="45" t="s">
        <v>36</v>
      </c>
      <c r="E94" s="47"/>
      <c r="F94" s="48" t="n">
        <f aca="false">Reajustes!H10</f>
        <v>1588.78126541813</v>
      </c>
      <c r="G94" s="25"/>
      <c r="H94" s="49" t="n">
        <f aca="false">O93-IF(G94="",0,G94)</f>
        <v>211034.871802028</v>
      </c>
      <c r="I94" s="57"/>
      <c r="J94" s="58"/>
      <c r="K94" s="51" t="n">
        <f aca="false">Reajustes!F10</f>
        <v>0</v>
      </c>
      <c r="L94" s="49" t="n">
        <f aca="false">IF(K94=0,H94,H94*(1+K94))</f>
        <v>211034.871802028</v>
      </c>
      <c r="M94" s="51" t="n">
        <f aca="false">Reajustes!E11</f>
        <v>0.106906226923436</v>
      </c>
      <c r="N94" s="49" t="n">
        <f aca="false">L94*(1+M94)</f>
        <v>233595.813695654</v>
      </c>
      <c r="O94" s="52" t="n">
        <f aca="false">N94</f>
        <v>233595.813695654</v>
      </c>
      <c r="P94" s="49" t="n">
        <f aca="false">IF(AND(E94&lt;&gt;"",DAY(E94)&gt;10),F94*0.02,0)</f>
        <v>0</v>
      </c>
      <c r="Q94" s="49" t="n">
        <f aca="false">IF(AND(E94&lt;&gt;"",DAY(E94)&gt;10),F94*0.00033*(DAY(E94)-10),0)</f>
        <v>0</v>
      </c>
    </row>
    <row r="95" customFormat="false" ht="15" hidden="false" customHeight="false" outlineLevel="0" collapsed="false">
      <c r="B95" s="21" t="n">
        <v>85</v>
      </c>
      <c r="C95" s="22" t="n">
        <v>2027</v>
      </c>
      <c r="D95" s="21" t="s">
        <v>37</v>
      </c>
      <c r="E95" s="23"/>
      <c r="F95" s="24" t="n">
        <f aca="false">Reajustes!H11</f>
        <v>1588.78126541813</v>
      </c>
      <c r="G95" s="25"/>
      <c r="H95" s="26" t="n">
        <f aca="false">O94-IF(G95="",0,G95)</f>
        <v>233595.813695654</v>
      </c>
      <c r="I95" s="59"/>
      <c r="J95" s="60"/>
      <c r="K95" s="29"/>
      <c r="L95" s="26" t="n">
        <f aca="false">H95</f>
        <v>233595.813695654</v>
      </c>
      <c r="M95" s="29"/>
      <c r="N95" s="26" t="n">
        <f aca="false">H95</f>
        <v>233595.813695654</v>
      </c>
      <c r="O95" s="26" t="n">
        <f aca="false">H95</f>
        <v>233595.813695654</v>
      </c>
      <c r="P95" s="26" t="n">
        <f aca="false">IF(AND(E95&lt;&gt;"",DAY(E95)&gt;10),F95*0.02,0)</f>
        <v>0</v>
      </c>
      <c r="Q95" s="26" t="n">
        <f aca="false">IF(AND(E95&lt;&gt;"",DAY(E95)&gt;10),F95*0.00033*(DAY(E95)-10),0)</f>
        <v>0</v>
      </c>
    </row>
    <row r="96" customFormat="false" ht="15" hidden="false" customHeight="false" outlineLevel="0" collapsed="false">
      <c r="B96" s="30" t="n">
        <v>86</v>
      </c>
      <c r="C96" s="31" t="n">
        <v>2027</v>
      </c>
      <c r="D96" s="30" t="s">
        <v>38</v>
      </c>
      <c r="E96" s="32"/>
      <c r="F96" s="33" t="n">
        <f aca="false">Reajustes!H11</f>
        <v>1588.78126541813</v>
      </c>
      <c r="G96" s="25"/>
      <c r="H96" s="34" t="n">
        <f aca="false">O95-IF(G96="",0,G96)</f>
        <v>233595.813695654</v>
      </c>
      <c r="I96" s="53"/>
      <c r="J96" s="54"/>
      <c r="K96" s="36"/>
      <c r="L96" s="34" t="n">
        <f aca="false">H96</f>
        <v>233595.813695654</v>
      </c>
      <c r="M96" s="36"/>
      <c r="N96" s="34" t="n">
        <f aca="false">H96</f>
        <v>233595.813695654</v>
      </c>
      <c r="O96" s="34" t="n">
        <f aca="false">H96</f>
        <v>233595.813695654</v>
      </c>
      <c r="P96" s="34" t="n">
        <f aca="false">IF(AND(E96&lt;&gt;"",DAY(E96)&gt;10),F96*0.02,0)</f>
        <v>0</v>
      </c>
      <c r="Q96" s="34" t="n">
        <f aca="false">IF(AND(E96&lt;&gt;"",DAY(E96)&gt;10),F96*0.00033*(DAY(E96)-10),0)</f>
        <v>0</v>
      </c>
    </row>
    <row r="97" customFormat="false" ht="15" hidden="false" customHeight="false" outlineLevel="0" collapsed="false">
      <c r="B97" s="37" t="n">
        <v>87</v>
      </c>
      <c r="C97" s="38" t="n">
        <v>2027</v>
      </c>
      <c r="D97" s="37" t="s">
        <v>39</v>
      </c>
      <c r="E97" s="39"/>
      <c r="F97" s="40" t="n">
        <f aca="false">Reajustes!H11</f>
        <v>1588.78126541813</v>
      </c>
      <c r="G97" s="25"/>
      <c r="H97" s="41" t="n">
        <f aca="false">O96-IF(G97="",0,G97)</f>
        <v>233595.813695654</v>
      </c>
      <c r="I97" s="55"/>
      <c r="J97" s="56"/>
      <c r="K97" s="44"/>
      <c r="L97" s="41" t="n">
        <f aca="false">H97</f>
        <v>233595.813695654</v>
      </c>
      <c r="M97" s="44"/>
      <c r="N97" s="41" t="n">
        <f aca="false">H97</f>
        <v>233595.813695654</v>
      </c>
      <c r="O97" s="41" t="n">
        <f aca="false">H97</f>
        <v>233595.813695654</v>
      </c>
      <c r="P97" s="41" t="n">
        <f aca="false">IF(AND(E97&lt;&gt;"",DAY(E97)&gt;10),F97*0.02,0)</f>
        <v>0</v>
      </c>
      <c r="Q97" s="41" t="n">
        <f aca="false">IF(AND(E97&lt;&gt;"",DAY(E97)&gt;10),F97*0.00033*(DAY(E97)-10),0)</f>
        <v>0</v>
      </c>
    </row>
    <row r="98" customFormat="false" ht="15" hidden="false" customHeight="false" outlineLevel="0" collapsed="false">
      <c r="B98" s="30" t="n">
        <v>88</v>
      </c>
      <c r="C98" s="31" t="n">
        <v>2027</v>
      </c>
      <c r="D98" s="30" t="s">
        <v>40</v>
      </c>
      <c r="E98" s="32"/>
      <c r="F98" s="33" t="n">
        <f aca="false">Reajustes!H11</f>
        <v>1588.78126541813</v>
      </c>
      <c r="G98" s="25"/>
      <c r="H98" s="34" t="n">
        <f aca="false">O97-IF(G98="",0,G98)</f>
        <v>233595.813695654</v>
      </c>
      <c r="I98" s="53"/>
      <c r="J98" s="54"/>
      <c r="K98" s="36"/>
      <c r="L98" s="34" t="n">
        <f aca="false">H98</f>
        <v>233595.813695654</v>
      </c>
      <c r="M98" s="36"/>
      <c r="N98" s="34" t="n">
        <f aca="false">H98</f>
        <v>233595.813695654</v>
      </c>
      <c r="O98" s="34" t="n">
        <f aca="false">H98</f>
        <v>233595.813695654</v>
      </c>
      <c r="P98" s="34" t="n">
        <f aca="false">IF(AND(E98&lt;&gt;"",DAY(E98)&gt;10),F98*0.02,0)</f>
        <v>0</v>
      </c>
      <c r="Q98" s="34" t="n">
        <f aca="false">IF(AND(E98&lt;&gt;"",DAY(E98)&gt;10),F98*0.00033*(DAY(E98)-10),0)</f>
        <v>0</v>
      </c>
    </row>
    <row r="99" customFormat="false" ht="15" hidden="false" customHeight="false" outlineLevel="0" collapsed="false">
      <c r="B99" s="37" t="n">
        <v>89</v>
      </c>
      <c r="C99" s="38" t="n">
        <v>2027</v>
      </c>
      <c r="D99" s="37" t="s">
        <v>41</v>
      </c>
      <c r="E99" s="39"/>
      <c r="F99" s="40" t="n">
        <f aca="false">Reajustes!H11</f>
        <v>1588.78126541813</v>
      </c>
      <c r="G99" s="25"/>
      <c r="H99" s="41" t="n">
        <f aca="false">O98-IF(G99="",0,G99)</f>
        <v>233595.813695654</v>
      </c>
      <c r="I99" s="55"/>
      <c r="J99" s="56"/>
      <c r="K99" s="44"/>
      <c r="L99" s="41" t="n">
        <f aca="false">H99</f>
        <v>233595.813695654</v>
      </c>
      <c r="M99" s="44"/>
      <c r="N99" s="41" t="n">
        <f aca="false">H99</f>
        <v>233595.813695654</v>
      </c>
      <c r="O99" s="41" t="n">
        <f aca="false">H99</f>
        <v>233595.813695654</v>
      </c>
      <c r="P99" s="41" t="n">
        <f aca="false">IF(AND(E99&lt;&gt;"",DAY(E99)&gt;10),F99*0.02,0)</f>
        <v>0</v>
      </c>
      <c r="Q99" s="41" t="n">
        <f aca="false">IF(AND(E99&lt;&gt;"",DAY(E99)&gt;10),F99*0.00033*(DAY(E99)-10),0)</f>
        <v>0</v>
      </c>
    </row>
    <row r="100" customFormat="false" ht="15" hidden="false" customHeight="false" outlineLevel="0" collapsed="false">
      <c r="B100" s="30" t="n">
        <v>90</v>
      </c>
      <c r="C100" s="31" t="n">
        <v>2028</v>
      </c>
      <c r="D100" s="30" t="s">
        <v>42</v>
      </c>
      <c r="E100" s="32"/>
      <c r="F100" s="33" t="n">
        <f aca="false">Reajustes!H11</f>
        <v>1588.78126541813</v>
      </c>
      <c r="G100" s="25"/>
      <c r="H100" s="34" t="n">
        <f aca="false">O99-IF(G100="",0,G100)</f>
        <v>233595.813695654</v>
      </c>
      <c r="I100" s="53"/>
      <c r="J100" s="54"/>
      <c r="K100" s="36"/>
      <c r="L100" s="34" t="n">
        <f aca="false">H100</f>
        <v>233595.813695654</v>
      </c>
      <c r="M100" s="36"/>
      <c r="N100" s="34" t="n">
        <f aca="false">H100</f>
        <v>233595.813695654</v>
      </c>
      <c r="O100" s="34" t="n">
        <f aca="false">H100</f>
        <v>233595.813695654</v>
      </c>
      <c r="P100" s="34" t="n">
        <f aca="false">IF(AND(E100&lt;&gt;"",DAY(E100)&gt;10),F100*0.02,0)</f>
        <v>0</v>
      </c>
      <c r="Q100" s="34" t="n">
        <f aca="false">IF(AND(E100&lt;&gt;"",DAY(E100)&gt;10),F100*0.00033*(DAY(E100)-10),0)</f>
        <v>0</v>
      </c>
    </row>
    <row r="101" customFormat="false" ht="15" hidden="false" customHeight="false" outlineLevel="0" collapsed="false">
      <c r="B101" s="37" t="n">
        <v>91</v>
      </c>
      <c r="C101" s="38" t="n">
        <v>2028</v>
      </c>
      <c r="D101" s="37" t="s">
        <v>43</v>
      </c>
      <c r="E101" s="39"/>
      <c r="F101" s="40" t="n">
        <f aca="false">Reajustes!H11</f>
        <v>1588.78126541813</v>
      </c>
      <c r="G101" s="25"/>
      <c r="H101" s="41" t="n">
        <f aca="false">O100-IF(G101="",0,G101)</f>
        <v>233595.813695654</v>
      </c>
      <c r="I101" s="55"/>
      <c r="J101" s="56"/>
      <c r="K101" s="44"/>
      <c r="L101" s="41" t="n">
        <f aca="false">H101</f>
        <v>233595.813695654</v>
      </c>
      <c r="M101" s="44"/>
      <c r="N101" s="41" t="n">
        <f aca="false">H101</f>
        <v>233595.813695654</v>
      </c>
      <c r="O101" s="41" t="n">
        <f aca="false">H101</f>
        <v>233595.813695654</v>
      </c>
      <c r="P101" s="41" t="n">
        <f aca="false">IF(AND(E101&lt;&gt;"",DAY(E101)&gt;10),F101*0.02,0)</f>
        <v>0</v>
      </c>
      <c r="Q101" s="41" t="n">
        <f aca="false">IF(AND(E101&lt;&gt;"",DAY(E101)&gt;10),F101*0.00033*(DAY(E101)-10),0)</f>
        <v>0</v>
      </c>
    </row>
    <row r="102" customFormat="false" ht="15" hidden="false" customHeight="false" outlineLevel="0" collapsed="false">
      <c r="B102" s="30" t="n">
        <v>92</v>
      </c>
      <c r="C102" s="31" t="n">
        <v>2028</v>
      </c>
      <c r="D102" s="30" t="s">
        <v>44</v>
      </c>
      <c r="E102" s="32"/>
      <c r="F102" s="33" t="n">
        <f aca="false">Reajustes!H11</f>
        <v>1588.78126541813</v>
      </c>
      <c r="G102" s="25"/>
      <c r="H102" s="34" t="n">
        <f aca="false">O101-IF(G102="",0,G102)</f>
        <v>233595.813695654</v>
      </c>
      <c r="I102" s="53"/>
      <c r="J102" s="54"/>
      <c r="K102" s="36"/>
      <c r="L102" s="34" t="n">
        <f aca="false">H102</f>
        <v>233595.813695654</v>
      </c>
      <c r="M102" s="36"/>
      <c r="N102" s="34" t="n">
        <f aca="false">H102</f>
        <v>233595.813695654</v>
      </c>
      <c r="O102" s="34" t="n">
        <f aca="false">H102</f>
        <v>233595.813695654</v>
      </c>
      <c r="P102" s="34" t="n">
        <f aca="false">IF(AND(E102&lt;&gt;"",DAY(E102)&gt;10),F102*0.02,0)</f>
        <v>0</v>
      </c>
      <c r="Q102" s="34" t="n">
        <f aca="false">IF(AND(E102&lt;&gt;"",DAY(E102)&gt;10),F102*0.00033*(DAY(E102)-10),0)</f>
        <v>0</v>
      </c>
    </row>
    <row r="103" customFormat="false" ht="15" hidden="false" customHeight="false" outlineLevel="0" collapsed="false">
      <c r="B103" s="37" t="n">
        <v>93</v>
      </c>
      <c r="C103" s="38" t="n">
        <v>2028</v>
      </c>
      <c r="D103" s="37" t="s">
        <v>45</v>
      </c>
      <c r="E103" s="39"/>
      <c r="F103" s="40" t="n">
        <f aca="false">Reajustes!H11</f>
        <v>1588.78126541813</v>
      </c>
      <c r="G103" s="25"/>
      <c r="H103" s="41" t="n">
        <f aca="false">O102-IF(G103="",0,G103)</f>
        <v>233595.813695654</v>
      </c>
      <c r="I103" s="55"/>
      <c r="J103" s="56"/>
      <c r="K103" s="44"/>
      <c r="L103" s="41" t="n">
        <f aca="false">H103</f>
        <v>233595.813695654</v>
      </c>
      <c r="M103" s="44"/>
      <c r="N103" s="41" t="n">
        <f aca="false">H103</f>
        <v>233595.813695654</v>
      </c>
      <c r="O103" s="41" t="n">
        <f aca="false">H103</f>
        <v>233595.813695654</v>
      </c>
      <c r="P103" s="41" t="n">
        <f aca="false">IF(AND(E103&lt;&gt;"",DAY(E103)&gt;10),F103*0.02,0)</f>
        <v>0</v>
      </c>
      <c r="Q103" s="41" t="n">
        <f aca="false">IF(AND(E103&lt;&gt;"",DAY(E103)&gt;10),F103*0.00033*(DAY(E103)-10),0)</f>
        <v>0</v>
      </c>
    </row>
    <row r="104" customFormat="false" ht="15" hidden="false" customHeight="false" outlineLevel="0" collapsed="false">
      <c r="B104" s="30" t="n">
        <v>94</v>
      </c>
      <c r="C104" s="31" t="n">
        <v>2028</v>
      </c>
      <c r="D104" s="30" t="s">
        <v>46</v>
      </c>
      <c r="E104" s="32"/>
      <c r="F104" s="33" t="n">
        <f aca="false">Reajustes!H11</f>
        <v>1588.78126541813</v>
      </c>
      <c r="G104" s="25"/>
      <c r="H104" s="34" t="n">
        <f aca="false">O103-IF(G104="",0,G104)</f>
        <v>233595.813695654</v>
      </c>
      <c r="I104" s="53"/>
      <c r="J104" s="54"/>
      <c r="K104" s="36"/>
      <c r="L104" s="34" t="n">
        <f aca="false">H104</f>
        <v>233595.813695654</v>
      </c>
      <c r="M104" s="36"/>
      <c r="N104" s="34" t="n">
        <f aca="false">H104</f>
        <v>233595.813695654</v>
      </c>
      <c r="O104" s="34" t="n">
        <f aca="false">H104</f>
        <v>233595.813695654</v>
      </c>
      <c r="P104" s="34" t="n">
        <f aca="false">IF(AND(E104&lt;&gt;"",DAY(E104)&gt;10),F104*0.02,0)</f>
        <v>0</v>
      </c>
      <c r="Q104" s="34" t="n">
        <f aca="false">IF(AND(E104&lt;&gt;"",DAY(E104)&gt;10),F104*0.00033*(DAY(E104)-10),0)</f>
        <v>0</v>
      </c>
    </row>
    <row r="105" customFormat="false" ht="15" hidden="false" customHeight="false" outlineLevel="0" collapsed="false">
      <c r="B105" s="37" t="n">
        <v>95</v>
      </c>
      <c r="C105" s="38" t="n">
        <v>2028</v>
      </c>
      <c r="D105" s="37" t="s">
        <v>47</v>
      </c>
      <c r="E105" s="39"/>
      <c r="F105" s="40" t="n">
        <f aca="false">Reajustes!H11</f>
        <v>1588.78126541813</v>
      </c>
      <c r="G105" s="25"/>
      <c r="H105" s="41" t="n">
        <f aca="false">O104-IF(G105="",0,G105)</f>
        <v>233595.813695654</v>
      </c>
      <c r="I105" s="55"/>
      <c r="J105" s="56"/>
      <c r="K105" s="44"/>
      <c r="L105" s="41" t="n">
        <f aca="false">H105</f>
        <v>233595.813695654</v>
      </c>
      <c r="M105" s="44"/>
      <c r="N105" s="41" t="n">
        <f aca="false">H105</f>
        <v>233595.813695654</v>
      </c>
      <c r="O105" s="41" t="n">
        <f aca="false">H105</f>
        <v>233595.813695654</v>
      </c>
      <c r="P105" s="41" t="n">
        <f aca="false">IF(AND(E105&lt;&gt;"",DAY(E105)&gt;10),F105*0.02,0)</f>
        <v>0</v>
      </c>
      <c r="Q105" s="41" t="n">
        <f aca="false">IF(AND(E105&lt;&gt;"",DAY(E105)&gt;10),F105*0.00033*(DAY(E105)-10),0)</f>
        <v>0</v>
      </c>
    </row>
    <row r="106" customFormat="false" ht="15" hidden="false" customHeight="false" outlineLevel="0" collapsed="false">
      <c r="B106" s="45" t="n">
        <v>96</v>
      </c>
      <c r="C106" s="46" t="n">
        <v>2028</v>
      </c>
      <c r="D106" s="45" t="s">
        <v>36</v>
      </c>
      <c r="E106" s="47"/>
      <c r="F106" s="48" t="n">
        <f aca="false">Reajustes!H11</f>
        <v>1588.78126541813</v>
      </c>
      <c r="G106" s="25"/>
      <c r="H106" s="49" t="n">
        <f aca="false">O105-IF(G106="",0,G106)</f>
        <v>233595.813695654</v>
      </c>
      <c r="I106" s="57"/>
      <c r="J106" s="58"/>
      <c r="K106" s="51" t="n">
        <f aca="false">Reajustes!F11</f>
        <v>0</v>
      </c>
      <c r="L106" s="49" t="n">
        <f aca="false">IF(K106=0,H106,H106*(1+K106))</f>
        <v>233595.813695654</v>
      </c>
      <c r="M106" s="51" t="n">
        <f aca="false">Reajustes!E12</f>
        <v>0.106906226923436</v>
      </c>
      <c r="N106" s="49" t="n">
        <f aca="false">L106*(1+M106)</f>
        <v>258568.660762966</v>
      </c>
      <c r="O106" s="52" t="n">
        <f aca="false">N106</f>
        <v>258568.660762966</v>
      </c>
      <c r="P106" s="49" t="n">
        <f aca="false">IF(AND(E106&lt;&gt;"",DAY(E106)&gt;10),F106*0.02,0)</f>
        <v>0</v>
      </c>
      <c r="Q106" s="49" t="n">
        <f aca="false">IF(AND(E106&lt;&gt;"",DAY(E106)&gt;10),F106*0.00033*(DAY(E106)-10),0)</f>
        <v>0</v>
      </c>
    </row>
    <row r="107" customFormat="false" ht="15" hidden="false" customHeight="false" outlineLevel="0" collapsed="false">
      <c r="B107" s="21" t="n">
        <v>97</v>
      </c>
      <c r="C107" s="22" t="n">
        <v>2028</v>
      </c>
      <c r="D107" s="21" t="s">
        <v>37</v>
      </c>
      <c r="E107" s="23"/>
      <c r="F107" s="24" t="n">
        <f aca="false">Reajustes!H12</f>
        <v>1588.78126541813</v>
      </c>
      <c r="G107" s="25"/>
      <c r="H107" s="26" t="n">
        <f aca="false">O106-IF(G107="",0,G107)</f>
        <v>258568.660762966</v>
      </c>
      <c r="I107" s="59"/>
      <c r="J107" s="60"/>
      <c r="K107" s="29"/>
      <c r="L107" s="26" t="n">
        <f aca="false">H107</f>
        <v>258568.660762966</v>
      </c>
      <c r="M107" s="29"/>
      <c r="N107" s="26" t="n">
        <f aca="false">H107</f>
        <v>258568.660762966</v>
      </c>
      <c r="O107" s="26" t="n">
        <f aca="false">H107</f>
        <v>258568.660762966</v>
      </c>
      <c r="P107" s="26" t="n">
        <f aca="false">IF(AND(E107&lt;&gt;"",DAY(E107)&gt;10),F107*0.02,0)</f>
        <v>0</v>
      </c>
      <c r="Q107" s="26" t="n">
        <f aca="false">IF(AND(E107&lt;&gt;"",DAY(E107)&gt;10),F107*0.00033*(DAY(E107)-10),0)</f>
        <v>0</v>
      </c>
    </row>
    <row r="108" customFormat="false" ht="15" hidden="false" customHeight="false" outlineLevel="0" collapsed="false">
      <c r="B108" s="30" t="n">
        <v>98</v>
      </c>
      <c r="C108" s="31" t="n">
        <v>2028</v>
      </c>
      <c r="D108" s="30" t="s">
        <v>38</v>
      </c>
      <c r="E108" s="32"/>
      <c r="F108" s="33" t="n">
        <f aca="false">Reajustes!H12</f>
        <v>1588.78126541813</v>
      </c>
      <c r="G108" s="25"/>
      <c r="H108" s="34" t="n">
        <f aca="false">O107-IF(G108="",0,G108)</f>
        <v>258568.660762966</v>
      </c>
      <c r="I108" s="53"/>
      <c r="J108" s="54"/>
      <c r="K108" s="36"/>
      <c r="L108" s="34" t="n">
        <f aca="false">H108</f>
        <v>258568.660762966</v>
      </c>
      <c r="M108" s="36"/>
      <c r="N108" s="34" t="n">
        <f aca="false">H108</f>
        <v>258568.660762966</v>
      </c>
      <c r="O108" s="34" t="n">
        <f aca="false">H108</f>
        <v>258568.660762966</v>
      </c>
      <c r="P108" s="34" t="n">
        <f aca="false">IF(AND(E108&lt;&gt;"",DAY(E108)&gt;10),F108*0.02,0)</f>
        <v>0</v>
      </c>
      <c r="Q108" s="34" t="n">
        <f aca="false">IF(AND(E108&lt;&gt;"",DAY(E108)&gt;10),F108*0.00033*(DAY(E108)-10),0)</f>
        <v>0</v>
      </c>
    </row>
    <row r="109" customFormat="false" ht="15" hidden="false" customHeight="false" outlineLevel="0" collapsed="false">
      <c r="B109" s="37" t="n">
        <v>99</v>
      </c>
      <c r="C109" s="38" t="n">
        <v>2028</v>
      </c>
      <c r="D109" s="37" t="s">
        <v>39</v>
      </c>
      <c r="E109" s="39"/>
      <c r="F109" s="40" t="n">
        <f aca="false">Reajustes!H12</f>
        <v>1588.78126541813</v>
      </c>
      <c r="G109" s="25"/>
      <c r="H109" s="41" t="n">
        <f aca="false">O108-IF(G109="",0,G109)</f>
        <v>258568.660762966</v>
      </c>
      <c r="I109" s="55"/>
      <c r="J109" s="56"/>
      <c r="K109" s="44"/>
      <c r="L109" s="41" t="n">
        <f aca="false">H109</f>
        <v>258568.660762966</v>
      </c>
      <c r="M109" s="44"/>
      <c r="N109" s="41" t="n">
        <f aca="false">H109</f>
        <v>258568.660762966</v>
      </c>
      <c r="O109" s="41" t="n">
        <f aca="false">H109</f>
        <v>258568.660762966</v>
      </c>
      <c r="P109" s="41" t="n">
        <f aca="false">IF(AND(E109&lt;&gt;"",DAY(E109)&gt;10),F109*0.02,0)</f>
        <v>0</v>
      </c>
      <c r="Q109" s="41" t="n">
        <f aca="false">IF(AND(E109&lt;&gt;"",DAY(E109)&gt;10),F109*0.00033*(DAY(E109)-10),0)</f>
        <v>0</v>
      </c>
    </row>
    <row r="110" customFormat="false" ht="15" hidden="false" customHeight="false" outlineLevel="0" collapsed="false">
      <c r="B110" s="30" t="n">
        <v>100</v>
      </c>
      <c r="C110" s="31" t="n">
        <v>2028</v>
      </c>
      <c r="D110" s="30" t="s">
        <v>40</v>
      </c>
      <c r="E110" s="32"/>
      <c r="F110" s="33" t="n">
        <f aca="false">Reajustes!H12</f>
        <v>1588.78126541813</v>
      </c>
      <c r="G110" s="25"/>
      <c r="H110" s="34" t="n">
        <f aca="false">O109-IF(G110="",0,G110)</f>
        <v>258568.660762966</v>
      </c>
      <c r="I110" s="53"/>
      <c r="J110" s="54"/>
      <c r="K110" s="36"/>
      <c r="L110" s="34" t="n">
        <f aca="false">H110</f>
        <v>258568.660762966</v>
      </c>
      <c r="M110" s="36"/>
      <c r="N110" s="34" t="n">
        <f aca="false">H110</f>
        <v>258568.660762966</v>
      </c>
      <c r="O110" s="34" t="n">
        <f aca="false">H110</f>
        <v>258568.660762966</v>
      </c>
      <c r="P110" s="34" t="n">
        <f aca="false">IF(AND(E110&lt;&gt;"",DAY(E110)&gt;10),F110*0.02,0)</f>
        <v>0</v>
      </c>
      <c r="Q110" s="34" t="n">
        <f aca="false">IF(AND(E110&lt;&gt;"",DAY(E110)&gt;10),F110*0.00033*(DAY(E110)-10),0)</f>
        <v>0</v>
      </c>
    </row>
    <row r="111" customFormat="false" ht="15" hidden="false" customHeight="false" outlineLevel="0" collapsed="false">
      <c r="B111" s="37" t="n">
        <v>101</v>
      </c>
      <c r="C111" s="38" t="n">
        <v>2028</v>
      </c>
      <c r="D111" s="37" t="s">
        <v>41</v>
      </c>
      <c r="E111" s="39"/>
      <c r="F111" s="40" t="n">
        <f aca="false">Reajustes!H12</f>
        <v>1588.78126541813</v>
      </c>
      <c r="G111" s="25"/>
      <c r="H111" s="41" t="n">
        <f aca="false">O110-IF(G111="",0,G111)</f>
        <v>258568.660762966</v>
      </c>
      <c r="I111" s="55"/>
      <c r="J111" s="56"/>
      <c r="K111" s="44"/>
      <c r="L111" s="41" t="n">
        <f aca="false">H111</f>
        <v>258568.660762966</v>
      </c>
      <c r="M111" s="44"/>
      <c r="N111" s="41" t="n">
        <f aca="false">H111</f>
        <v>258568.660762966</v>
      </c>
      <c r="O111" s="41" t="n">
        <f aca="false">H111</f>
        <v>258568.660762966</v>
      </c>
      <c r="P111" s="41" t="n">
        <f aca="false">IF(AND(E111&lt;&gt;"",DAY(E111)&gt;10),F111*0.02,0)</f>
        <v>0</v>
      </c>
      <c r="Q111" s="41" t="n">
        <f aca="false">IF(AND(E111&lt;&gt;"",DAY(E111)&gt;10),F111*0.00033*(DAY(E111)-10),0)</f>
        <v>0</v>
      </c>
    </row>
    <row r="112" customFormat="false" ht="15" hidden="false" customHeight="false" outlineLevel="0" collapsed="false">
      <c r="B112" s="30" t="n">
        <v>102</v>
      </c>
      <c r="C112" s="31" t="n">
        <v>2029</v>
      </c>
      <c r="D112" s="30" t="s">
        <v>42</v>
      </c>
      <c r="E112" s="32"/>
      <c r="F112" s="33" t="n">
        <f aca="false">Reajustes!H12</f>
        <v>1588.78126541813</v>
      </c>
      <c r="G112" s="25"/>
      <c r="H112" s="34" t="n">
        <f aca="false">O111-IF(G112="",0,G112)</f>
        <v>258568.660762966</v>
      </c>
      <c r="I112" s="53"/>
      <c r="J112" s="54"/>
      <c r="K112" s="36"/>
      <c r="L112" s="34" t="n">
        <f aca="false">H112</f>
        <v>258568.660762966</v>
      </c>
      <c r="M112" s="36"/>
      <c r="N112" s="34" t="n">
        <f aca="false">H112</f>
        <v>258568.660762966</v>
      </c>
      <c r="O112" s="34" t="n">
        <f aca="false">H112</f>
        <v>258568.660762966</v>
      </c>
      <c r="P112" s="34" t="n">
        <f aca="false">IF(AND(E112&lt;&gt;"",DAY(E112)&gt;10),F112*0.02,0)</f>
        <v>0</v>
      </c>
      <c r="Q112" s="34" t="n">
        <f aca="false">IF(AND(E112&lt;&gt;"",DAY(E112)&gt;10),F112*0.00033*(DAY(E112)-10),0)</f>
        <v>0</v>
      </c>
    </row>
    <row r="113" customFormat="false" ht="15" hidden="false" customHeight="false" outlineLevel="0" collapsed="false">
      <c r="B113" s="37" t="n">
        <v>103</v>
      </c>
      <c r="C113" s="38" t="n">
        <v>2029</v>
      </c>
      <c r="D113" s="37" t="s">
        <v>43</v>
      </c>
      <c r="E113" s="39"/>
      <c r="F113" s="40" t="n">
        <f aca="false">Reajustes!H12</f>
        <v>1588.78126541813</v>
      </c>
      <c r="G113" s="25"/>
      <c r="H113" s="41" t="n">
        <f aca="false">O112-IF(G113="",0,G113)</f>
        <v>258568.660762966</v>
      </c>
      <c r="I113" s="55"/>
      <c r="J113" s="56"/>
      <c r="K113" s="44"/>
      <c r="L113" s="41" t="n">
        <f aca="false">H113</f>
        <v>258568.660762966</v>
      </c>
      <c r="M113" s="44"/>
      <c r="N113" s="41" t="n">
        <f aca="false">H113</f>
        <v>258568.660762966</v>
      </c>
      <c r="O113" s="41" t="n">
        <f aca="false">H113</f>
        <v>258568.660762966</v>
      </c>
      <c r="P113" s="41" t="n">
        <f aca="false">IF(AND(E113&lt;&gt;"",DAY(E113)&gt;10),F113*0.02,0)</f>
        <v>0</v>
      </c>
      <c r="Q113" s="41" t="n">
        <f aca="false">IF(AND(E113&lt;&gt;"",DAY(E113)&gt;10),F113*0.00033*(DAY(E113)-10),0)</f>
        <v>0</v>
      </c>
    </row>
    <row r="114" customFormat="false" ht="15" hidden="false" customHeight="false" outlineLevel="0" collapsed="false">
      <c r="B114" s="30" t="n">
        <v>104</v>
      </c>
      <c r="C114" s="31" t="n">
        <v>2029</v>
      </c>
      <c r="D114" s="30" t="s">
        <v>44</v>
      </c>
      <c r="E114" s="32"/>
      <c r="F114" s="33" t="n">
        <f aca="false">Reajustes!H12</f>
        <v>1588.78126541813</v>
      </c>
      <c r="G114" s="25"/>
      <c r="H114" s="34" t="n">
        <f aca="false">O113-IF(G114="",0,G114)</f>
        <v>258568.660762966</v>
      </c>
      <c r="I114" s="53"/>
      <c r="J114" s="54"/>
      <c r="K114" s="36"/>
      <c r="L114" s="34" t="n">
        <f aca="false">H114</f>
        <v>258568.660762966</v>
      </c>
      <c r="M114" s="36"/>
      <c r="N114" s="34" t="n">
        <f aca="false">H114</f>
        <v>258568.660762966</v>
      </c>
      <c r="O114" s="34" t="n">
        <f aca="false">H114</f>
        <v>258568.660762966</v>
      </c>
      <c r="P114" s="34" t="n">
        <f aca="false">IF(AND(E114&lt;&gt;"",DAY(E114)&gt;10),F114*0.02,0)</f>
        <v>0</v>
      </c>
      <c r="Q114" s="34" t="n">
        <f aca="false">IF(AND(E114&lt;&gt;"",DAY(E114)&gt;10),F114*0.00033*(DAY(E114)-10),0)</f>
        <v>0</v>
      </c>
    </row>
    <row r="115" customFormat="false" ht="15" hidden="false" customHeight="false" outlineLevel="0" collapsed="false">
      <c r="B115" s="37" t="n">
        <v>105</v>
      </c>
      <c r="C115" s="38" t="n">
        <v>2029</v>
      </c>
      <c r="D115" s="37" t="s">
        <v>45</v>
      </c>
      <c r="E115" s="39"/>
      <c r="F115" s="40" t="n">
        <f aca="false">Reajustes!H12</f>
        <v>1588.78126541813</v>
      </c>
      <c r="G115" s="25"/>
      <c r="H115" s="41" t="n">
        <f aca="false">O114-IF(G115="",0,G115)</f>
        <v>258568.660762966</v>
      </c>
      <c r="I115" s="55"/>
      <c r="J115" s="56"/>
      <c r="K115" s="44"/>
      <c r="L115" s="41" t="n">
        <f aca="false">H115</f>
        <v>258568.660762966</v>
      </c>
      <c r="M115" s="44"/>
      <c r="N115" s="41" t="n">
        <f aca="false">H115</f>
        <v>258568.660762966</v>
      </c>
      <c r="O115" s="41" t="n">
        <f aca="false">H115</f>
        <v>258568.660762966</v>
      </c>
      <c r="P115" s="41" t="n">
        <f aca="false">IF(AND(E115&lt;&gt;"",DAY(E115)&gt;10),F115*0.02,0)</f>
        <v>0</v>
      </c>
      <c r="Q115" s="41" t="n">
        <f aca="false">IF(AND(E115&lt;&gt;"",DAY(E115)&gt;10),F115*0.00033*(DAY(E115)-10),0)</f>
        <v>0</v>
      </c>
    </row>
    <row r="116" customFormat="false" ht="15" hidden="false" customHeight="false" outlineLevel="0" collapsed="false">
      <c r="B116" s="30" t="n">
        <v>106</v>
      </c>
      <c r="C116" s="31" t="n">
        <v>2029</v>
      </c>
      <c r="D116" s="30" t="s">
        <v>46</v>
      </c>
      <c r="E116" s="32"/>
      <c r="F116" s="33" t="n">
        <f aca="false">Reajustes!H12</f>
        <v>1588.78126541813</v>
      </c>
      <c r="G116" s="25"/>
      <c r="H116" s="34" t="n">
        <f aca="false">O115-IF(G116="",0,G116)</f>
        <v>258568.660762966</v>
      </c>
      <c r="I116" s="53"/>
      <c r="J116" s="54"/>
      <c r="K116" s="36"/>
      <c r="L116" s="34" t="n">
        <f aca="false">H116</f>
        <v>258568.660762966</v>
      </c>
      <c r="M116" s="36"/>
      <c r="N116" s="34" t="n">
        <f aca="false">H116</f>
        <v>258568.660762966</v>
      </c>
      <c r="O116" s="34" t="n">
        <f aca="false">H116</f>
        <v>258568.660762966</v>
      </c>
      <c r="P116" s="34" t="n">
        <f aca="false">IF(AND(E116&lt;&gt;"",DAY(E116)&gt;10),F116*0.02,0)</f>
        <v>0</v>
      </c>
      <c r="Q116" s="34" t="n">
        <f aca="false">IF(AND(E116&lt;&gt;"",DAY(E116)&gt;10),F116*0.00033*(DAY(E116)-10),0)</f>
        <v>0</v>
      </c>
    </row>
    <row r="117" customFormat="false" ht="15" hidden="false" customHeight="false" outlineLevel="0" collapsed="false">
      <c r="B117" s="37" t="n">
        <v>107</v>
      </c>
      <c r="C117" s="38" t="n">
        <v>2029</v>
      </c>
      <c r="D117" s="37" t="s">
        <v>47</v>
      </c>
      <c r="E117" s="39"/>
      <c r="F117" s="40" t="n">
        <f aca="false">Reajustes!H12</f>
        <v>1588.78126541813</v>
      </c>
      <c r="G117" s="25"/>
      <c r="H117" s="41" t="n">
        <f aca="false">O116-IF(G117="",0,G117)</f>
        <v>258568.660762966</v>
      </c>
      <c r="I117" s="55"/>
      <c r="J117" s="56"/>
      <c r="K117" s="44"/>
      <c r="L117" s="41" t="n">
        <f aca="false">H117</f>
        <v>258568.660762966</v>
      </c>
      <c r="M117" s="44"/>
      <c r="N117" s="41" t="n">
        <f aca="false">H117</f>
        <v>258568.660762966</v>
      </c>
      <c r="O117" s="41" t="n">
        <f aca="false">H117</f>
        <v>258568.660762966</v>
      </c>
      <c r="P117" s="41" t="n">
        <f aca="false">IF(AND(E117&lt;&gt;"",DAY(E117)&gt;10),F117*0.02,0)</f>
        <v>0</v>
      </c>
      <c r="Q117" s="41" t="n">
        <f aca="false">IF(AND(E117&lt;&gt;"",DAY(E117)&gt;10),F117*0.00033*(DAY(E117)-10),0)</f>
        <v>0</v>
      </c>
    </row>
    <row r="118" customFormat="false" ht="15" hidden="false" customHeight="false" outlineLevel="0" collapsed="false">
      <c r="B118" s="45" t="n">
        <v>108</v>
      </c>
      <c r="C118" s="46" t="n">
        <v>2029</v>
      </c>
      <c r="D118" s="45" t="s">
        <v>36</v>
      </c>
      <c r="E118" s="47"/>
      <c r="F118" s="48" t="n">
        <f aca="false">Reajustes!H12</f>
        <v>1588.78126541813</v>
      </c>
      <c r="G118" s="25"/>
      <c r="H118" s="49" t="n">
        <f aca="false">O117-IF(G118="",0,G118)</f>
        <v>258568.660762966</v>
      </c>
      <c r="I118" s="57"/>
      <c r="J118" s="58"/>
      <c r="K118" s="51" t="n">
        <f aca="false">Reajustes!F12</f>
        <v>0</v>
      </c>
      <c r="L118" s="49" t="n">
        <f aca="false">IF(K118=0,H118,H118*(1+K118))</f>
        <v>258568.660762966</v>
      </c>
      <c r="M118" s="51" t="n">
        <f aca="false">Reajustes!E13</f>
        <v>0.106906226923436</v>
      </c>
      <c r="N118" s="49" t="n">
        <f aca="false">L118*(1+M118)</f>
        <v>286211.26068578</v>
      </c>
      <c r="O118" s="52" t="n">
        <f aca="false">N118</f>
        <v>286211.26068578</v>
      </c>
      <c r="P118" s="49" t="n">
        <f aca="false">IF(AND(E118&lt;&gt;"",DAY(E118)&gt;10),F118*0.02,0)</f>
        <v>0</v>
      </c>
      <c r="Q118" s="49" t="n">
        <f aca="false">IF(AND(E118&lt;&gt;"",DAY(E118)&gt;10),F118*0.00033*(DAY(E118)-10),0)</f>
        <v>0</v>
      </c>
    </row>
    <row r="119" customFormat="false" ht="15" hidden="false" customHeight="false" outlineLevel="0" collapsed="false">
      <c r="B119" s="21" t="n">
        <v>109</v>
      </c>
      <c r="C119" s="22" t="n">
        <v>2029</v>
      </c>
      <c r="D119" s="21" t="s">
        <v>37</v>
      </c>
      <c r="E119" s="23"/>
      <c r="F119" s="24" t="n">
        <f aca="false">Reajustes!H13</f>
        <v>1588.78126541813</v>
      </c>
      <c r="G119" s="25"/>
      <c r="H119" s="26" t="n">
        <f aca="false">O118-IF(G119="",0,G119)</f>
        <v>286211.26068578</v>
      </c>
      <c r="I119" s="59"/>
      <c r="J119" s="60"/>
      <c r="K119" s="29"/>
      <c r="L119" s="26" t="n">
        <f aca="false">H119</f>
        <v>286211.26068578</v>
      </c>
      <c r="M119" s="29"/>
      <c r="N119" s="26" t="n">
        <f aca="false">H119</f>
        <v>286211.26068578</v>
      </c>
      <c r="O119" s="26" t="n">
        <f aca="false">H119</f>
        <v>286211.26068578</v>
      </c>
      <c r="P119" s="26" t="n">
        <f aca="false">IF(AND(E119&lt;&gt;"",DAY(E119)&gt;10),F119*0.02,0)</f>
        <v>0</v>
      </c>
      <c r="Q119" s="26" t="n">
        <f aca="false">IF(AND(E119&lt;&gt;"",DAY(E119)&gt;10),F119*0.00033*(DAY(E119)-10),0)</f>
        <v>0</v>
      </c>
    </row>
    <row r="120" customFormat="false" ht="15" hidden="false" customHeight="false" outlineLevel="0" collapsed="false">
      <c r="B120" s="30" t="n">
        <v>110</v>
      </c>
      <c r="C120" s="31" t="n">
        <v>2029</v>
      </c>
      <c r="D120" s="30" t="s">
        <v>38</v>
      </c>
      <c r="E120" s="32"/>
      <c r="F120" s="33" t="n">
        <f aca="false">Reajustes!H13</f>
        <v>1588.78126541813</v>
      </c>
      <c r="G120" s="25"/>
      <c r="H120" s="34" t="n">
        <f aca="false">O119-IF(G120="",0,G120)</f>
        <v>286211.26068578</v>
      </c>
      <c r="I120" s="53"/>
      <c r="J120" s="54"/>
      <c r="K120" s="36"/>
      <c r="L120" s="34" t="n">
        <f aca="false">H120</f>
        <v>286211.26068578</v>
      </c>
      <c r="M120" s="36"/>
      <c r="N120" s="34" t="n">
        <f aca="false">H120</f>
        <v>286211.26068578</v>
      </c>
      <c r="O120" s="34" t="n">
        <f aca="false">H120</f>
        <v>286211.26068578</v>
      </c>
      <c r="P120" s="34" t="n">
        <f aca="false">IF(AND(E120&lt;&gt;"",DAY(E120)&gt;10),F120*0.02,0)</f>
        <v>0</v>
      </c>
      <c r="Q120" s="34" t="n">
        <f aca="false">IF(AND(E120&lt;&gt;"",DAY(E120)&gt;10),F120*0.00033*(DAY(E120)-10),0)</f>
        <v>0</v>
      </c>
    </row>
    <row r="121" customFormat="false" ht="15" hidden="false" customHeight="false" outlineLevel="0" collapsed="false">
      <c r="B121" s="37" t="n">
        <v>111</v>
      </c>
      <c r="C121" s="38" t="n">
        <v>2029</v>
      </c>
      <c r="D121" s="37" t="s">
        <v>39</v>
      </c>
      <c r="E121" s="39"/>
      <c r="F121" s="40" t="n">
        <f aca="false">Reajustes!H13</f>
        <v>1588.78126541813</v>
      </c>
      <c r="G121" s="25"/>
      <c r="H121" s="41" t="n">
        <f aca="false">O120-IF(G121="",0,G121)</f>
        <v>286211.26068578</v>
      </c>
      <c r="I121" s="55"/>
      <c r="J121" s="56"/>
      <c r="K121" s="44"/>
      <c r="L121" s="41" t="n">
        <f aca="false">H121</f>
        <v>286211.26068578</v>
      </c>
      <c r="M121" s="44"/>
      <c r="N121" s="41" t="n">
        <f aca="false">H121</f>
        <v>286211.26068578</v>
      </c>
      <c r="O121" s="41" t="n">
        <f aca="false">H121</f>
        <v>286211.26068578</v>
      </c>
      <c r="P121" s="41" t="n">
        <f aca="false">IF(AND(E121&lt;&gt;"",DAY(E121)&gt;10),F121*0.02,0)</f>
        <v>0</v>
      </c>
      <c r="Q121" s="41" t="n">
        <f aca="false">IF(AND(E121&lt;&gt;"",DAY(E121)&gt;10),F121*0.00033*(DAY(E121)-10),0)</f>
        <v>0</v>
      </c>
    </row>
    <row r="122" customFormat="false" ht="15" hidden="false" customHeight="false" outlineLevel="0" collapsed="false">
      <c r="B122" s="30" t="n">
        <v>112</v>
      </c>
      <c r="C122" s="31" t="n">
        <v>2029</v>
      </c>
      <c r="D122" s="30" t="s">
        <v>40</v>
      </c>
      <c r="E122" s="32"/>
      <c r="F122" s="33" t="n">
        <f aca="false">Reajustes!H13</f>
        <v>1588.78126541813</v>
      </c>
      <c r="G122" s="25"/>
      <c r="H122" s="34" t="n">
        <f aca="false">O121-IF(G122="",0,G122)</f>
        <v>286211.26068578</v>
      </c>
      <c r="I122" s="53"/>
      <c r="J122" s="54"/>
      <c r="K122" s="36"/>
      <c r="L122" s="34" t="n">
        <f aca="false">H122</f>
        <v>286211.26068578</v>
      </c>
      <c r="M122" s="36"/>
      <c r="N122" s="34" t="n">
        <f aca="false">H122</f>
        <v>286211.26068578</v>
      </c>
      <c r="O122" s="34" t="n">
        <f aca="false">H122</f>
        <v>286211.26068578</v>
      </c>
      <c r="P122" s="34" t="n">
        <f aca="false">IF(AND(E122&lt;&gt;"",DAY(E122)&gt;10),F122*0.02,0)</f>
        <v>0</v>
      </c>
      <c r="Q122" s="34" t="n">
        <f aca="false">IF(AND(E122&lt;&gt;"",DAY(E122)&gt;10),F122*0.00033*(DAY(E122)-10),0)</f>
        <v>0</v>
      </c>
    </row>
    <row r="123" customFormat="false" ht="15" hidden="false" customHeight="false" outlineLevel="0" collapsed="false">
      <c r="B123" s="37" t="n">
        <v>113</v>
      </c>
      <c r="C123" s="38" t="n">
        <v>2029</v>
      </c>
      <c r="D123" s="37" t="s">
        <v>41</v>
      </c>
      <c r="E123" s="39"/>
      <c r="F123" s="40" t="n">
        <f aca="false">Reajustes!H13</f>
        <v>1588.78126541813</v>
      </c>
      <c r="G123" s="25"/>
      <c r="H123" s="41" t="n">
        <f aca="false">O122-IF(G123="",0,G123)</f>
        <v>286211.26068578</v>
      </c>
      <c r="I123" s="55"/>
      <c r="J123" s="56"/>
      <c r="K123" s="44"/>
      <c r="L123" s="41" t="n">
        <f aca="false">H123</f>
        <v>286211.26068578</v>
      </c>
      <c r="M123" s="44"/>
      <c r="N123" s="41" t="n">
        <f aca="false">H123</f>
        <v>286211.26068578</v>
      </c>
      <c r="O123" s="41" t="n">
        <f aca="false">H123</f>
        <v>286211.26068578</v>
      </c>
      <c r="P123" s="41" t="n">
        <f aca="false">IF(AND(E123&lt;&gt;"",DAY(E123)&gt;10),F123*0.02,0)</f>
        <v>0</v>
      </c>
      <c r="Q123" s="41" t="n">
        <f aca="false">IF(AND(E123&lt;&gt;"",DAY(E123)&gt;10),F123*0.00033*(DAY(E123)-10),0)</f>
        <v>0</v>
      </c>
    </row>
    <row r="124" customFormat="false" ht="15" hidden="false" customHeight="false" outlineLevel="0" collapsed="false">
      <c r="B124" s="30" t="n">
        <v>114</v>
      </c>
      <c r="C124" s="31" t="n">
        <v>2030</v>
      </c>
      <c r="D124" s="30" t="s">
        <v>42</v>
      </c>
      <c r="E124" s="32"/>
      <c r="F124" s="33" t="n">
        <f aca="false">Reajustes!H13</f>
        <v>1588.78126541813</v>
      </c>
      <c r="G124" s="25"/>
      <c r="H124" s="34" t="n">
        <f aca="false">O123-IF(G124="",0,G124)</f>
        <v>286211.26068578</v>
      </c>
      <c r="I124" s="53"/>
      <c r="J124" s="54"/>
      <c r="K124" s="36"/>
      <c r="L124" s="34" t="n">
        <f aca="false">H124</f>
        <v>286211.26068578</v>
      </c>
      <c r="M124" s="36"/>
      <c r="N124" s="34" t="n">
        <f aca="false">H124</f>
        <v>286211.26068578</v>
      </c>
      <c r="O124" s="34" t="n">
        <f aca="false">H124</f>
        <v>286211.26068578</v>
      </c>
      <c r="P124" s="34" t="n">
        <f aca="false">IF(AND(E124&lt;&gt;"",DAY(E124)&gt;10),F124*0.02,0)</f>
        <v>0</v>
      </c>
      <c r="Q124" s="34" t="n">
        <f aca="false">IF(AND(E124&lt;&gt;"",DAY(E124)&gt;10),F124*0.00033*(DAY(E124)-10),0)</f>
        <v>0</v>
      </c>
    </row>
    <row r="125" customFormat="false" ht="15" hidden="false" customHeight="false" outlineLevel="0" collapsed="false">
      <c r="B125" s="37" t="n">
        <v>115</v>
      </c>
      <c r="C125" s="38" t="n">
        <v>2030</v>
      </c>
      <c r="D125" s="37" t="s">
        <v>43</v>
      </c>
      <c r="E125" s="39"/>
      <c r="F125" s="40" t="n">
        <f aca="false">Reajustes!H13</f>
        <v>1588.78126541813</v>
      </c>
      <c r="G125" s="25"/>
      <c r="H125" s="41" t="n">
        <f aca="false">O124-IF(G125="",0,G125)</f>
        <v>286211.26068578</v>
      </c>
      <c r="I125" s="55"/>
      <c r="J125" s="56"/>
      <c r="K125" s="44"/>
      <c r="L125" s="41" t="n">
        <f aca="false">H125</f>
        <v>286211.26068578</v>
      </c>
      <c r="M125" s="44"/>
      <c r="N125" s="41" t="n">
        <f aca="false">H125</f>
        <v>286211.26068578</v>
      </c>
      <c r="O125" s="41" t="n">
        <f aca="false">H125</f>
        <v>286211.26068578</v>
      </c>
      <c r="P125" s="41" t="n">
        <f aca="false">IF(AND(E125&lt;&gt;"",DAY(E125)&gt;10),F125*0.02,0)</f>
        <v>0</v>
      </c>
      <c r="Q125" s="41" t="n">
        <f aca="false">IF(AND(E125&lt;&gt;"",DAY(E125)&gt;10),F125*0.00033*(DAY(E125)-10),0)</f>
        <v>0</v>
      </c>
    </row>
    <row r="126" customFormat="false" ht="15" hidden="false" customHeight="false" outlineLevel="0" collapsed="false">
      <c r="B126" s="30" t="n">
        <v>116</v>
      </c>
      <c r="C126" s="31" t="n">
        <v>2030</v>
      </c>
      <c r="D126" s="30" t="s">
        <v>44</v>
      </c>
      <c r="E126" s="32"/>
      <c r="F126" s="33" t="n">
        <f aca="false">Reajustes!H13</f>
        <v>1588.78126541813</v>
      </c>
      <c r="G126" s="25"/>
      <c r="H126" s="34" t="n">
        <f aca="false">O125-IF(G126="",0,G126)</f>
        <v>286211.26068578</v>
      </c>
      <c r="I126" s="53"/>
      <c r="J126" s="54"/>
      <c r="K126" s="36"/>
      <c r="L126" s="34" t="n">
        <f aca="false">H126</f>
        <v>286211.26068578</v>
      </c>
      <c r="M126" s="36"/>
      <c r="N126" s="34" t="n">
        <f aca="false">H126</f>
        <v>286211.26068578</v>
      </c>
      <c r="O126" s="34" t="n">
        <f aca="false">H126</f>
        <v>286211.26068578</v>
      </c>
      <c r="P126" s="34" t="n">
        <f aca="false">IF(AND(E126&lt;&gt;"",DAY(E126)&gt;10),F126*0.02,0)</f>
        <v>0</v>
      </c>
      <c r="Q126" s="34" t="n">
        <f aca="false">IF(AND(E126&lt;&gt;"",DAY(E126)&gt;10),F126*0.00033*(DAY(E126)-10),0)</f>
        <v>0</v>
      </c>
    </row>
    <row r="127" customFormat="false" ht="15" hidden="false" customHeight="false" outlineLevel="0" collapsed="false">
      <c r="B127" s="37" t="n">
        <v>117</v>
      </c>
      <c r="C127" s="38" t="n">
        <v>2030</v>
      </c>
      <c r="D127" s="37" t="s">
        <v>45</v>
      </c>
      <c r="E127" s="39"/>
      <c r="F127" s="40" t="n">
        <f aca="false">Reajustes!H13</f>
        <v>1588.78126541813</v>
      </c>
      <c r="G127" s="25"/>
      <c r="H127" s="41" t="n">
        <f aca="false">O126-IF(G127="",0,G127)</f>
        <v>286211.26068578</v>
      </c>
      <c r="I127" s="55"/>
      <c r="J127" s="56"/>
      <c r="K127" s="44"/>
      <c r="L127" s="41" t="n">
        <f aca="false">H127</f>
        <v>286211.26068578</v>
      </c>
      <c r="M127" s="44"/>
      <c r="N127" s="41" t="n">
        <f aca="false">H127</f>
        <v>286211.26068578</v>
      </c>
      <c r="O127" s="41" t="n">
        <f aca="false">H127</f>
        <v>286211.26068578</v>
      </c>
      <c r="P127" s="41" t="n">
        <f aca="false">IF(AND(E127&lt;&gt;"",DAY(E127)&gt;10),F127*0.02,0)</f>
        <v>0</v>
      </c>
      <c r="Q127" s="41" t="n">
        <f aca="false">IF(AND(E127&lt;&gt;"",DAY(E127)&gt;10),F127*0.00033*(DAY(E127)-10),0)</f>
        <v>0</v>
      </c>
    </row>
    <row r="128" customFormat="false" ht="15" hidden="false" customHeight="false" outlineLevel="0" collapsed="false">
      <c r="B128" s="30" t="n">
        <v>118</v>
      </c>
      <c r="C128" s="31" t="n">
        <v>2030</v>
      </c>
      <c r="D128" s="30" t="s">
        <v>46</v>
      </c>
      <c r="E128" s="32"/>
      <c r="F128" s="33" t="n">
        <f aca="false">Reajustes!H13</f>
        <v>1588.78126541813</v>
      </c>
      <c r="G128" s="25"/>
      <c r="H128" s="34" t="n">
        <f aca="false">O127-IF(G128="",0,G128)</f>
        <v>286211.26068578</v>
      </c>
      <c r="I128" s="53"/>
      <c r="J128" s="54"/>
      <c r="K128" s="36"/>
      <c r="L128" s="34" t="n">
        <f aca="false">H128</f>
        <v>286211.26068578</v>
      </c>
      <c r="M128" s="36"/>
      <c r="N128" s="34" t="n">
        <f aca="false">H128</f>
        <v>286211.26068578</v>
      </c>
      <c r="O128" s="34" t="n">
        <f aca="false">H128</f>
        <v>286211.26068578</v>
      </c>
      <c r="P128" s="34" t="n">
        <f aca="false">IF(AND(E128&lt;&gt;"",DAY(E128)&gt;10),F128*0.02,0)</f>
        <v>0</v>
      </c>
      <c r="Q128" s="34" t="n">
        <f aca="false">IF(AND(E128&lt;&gt;"",DAY(E128)&gt;10),F128*0.00033*(DAY(E128)-10),0)</f>
        <v>0</v>
      </c>
    </row>
    <row r="129" customFormat="false" ht="15" hidden="false" customHeight="false" outlineLevel="0" collapsed="false">
      <c r="B129" s="37" t="n">
        <v>119</v>
      </c>
      <c r="C129" s="38" t="n">
        <v>2030</v>
      </c>
      <c r="D129" s="37" t="s">
        <v>47</v>
      </c>
      <c r="E129" s="39"/>
      <c r="F129" s="40" t="n">
        <f aca="false">Reajustes!H13</f>
        <v>1588.78126541813</v>
      </c>
      <c r="G129" s="25"/>
      <c r="H129" s="41" t="n">
        <f aca="false">O128-IF(G129="",0,G129)</f>
        <v>286211.26068578</v>
      </c>
      <c r="I129" s="55"/>
      <c r="J129" s="56"/>
      <c r="K129" s="44"/>
      <c r="L129" s="41" t="n">
        <f aca="false">H129</f>
        <v>286211.26068578</v>
      </c>
      <c r="M129" s="44"/>
      <c r="N129" s="41" t="n">
        <f aca="false">H129</f>
        <v>286211.26068578</v>
      </c>
      <c r="O129" s="41" t="n">
        <f aca="false">H129</f>
        <v>286211.26068578</v>
      </c>
      <c r="P129" s="41" t="n">
        <f aca="false">IF(AND(E129&lt;&gt;"",DAY(E129)&gt;10),F129*0.02,0)</f>
        <v>0</v>
      </c>
      <c r="Q129" s="41" t="n">
        <f aca="false">IF(AND(E129&lt;&gt;"",DAY(E129)&gt;10),F129*0.00033*(DAY(E129)-10),0)</f>
        <v>0</v>
      </c>
    </row>
    <row r="130" customFormat="false" ht="15" hidden="false" customHeight="false" outlineLevel="0" collapsed="false">
      <c r="B130" s="30" t="n">
        <v>120</v>
      </c>
      <c r="C130" s="31" t="n">
        <v>2030</v>
      </c>
      <c r="D130" s="30" t="s">
        <v>36</v>
      </c>
      <c r="E130" s="32"/>
      <c r="F130" s="33" t="n">
        <f aca="false">Reajustes!H13</f>
        <v>1588.78126541813</v>
      </c>
      <c r="G130" s="25"/>
      <c r="H130" s="34" t="n">
        <f aca="false">O129-IF(G130="",0,G130)</f>
        <v>286211.26068578</v>
      </c>
      <c r="I130" s="53"/>
      <c r="J130" s="54"/>
      <c r="K130" s="36"/>
      <c r="L130" s="34" t="n">
        <f aca="false">H130</f>
        <v>286211.26068578</v>
      </c>
      <c r="M130" s="36"/>
      <c r="N130" s="34" t="n">
        <f aca="false">H130</f>
        <v>286211.26068578</v>
      </c>
      <c r="O130" s="34" t="n">
        <f aca="false">H130</f>
        <v>286211.26068578</v>
      </c>
      <c r="P130" s="34" t="n">
        <f aca="false">IF(AND(E130&lt;&gt;"",DAY(E130)&gt;10),F130*0.02,0)</f>
        <v>0</v>
      </c>
      <c r="Q130" s="34" t="n">
        <f aca="false">IF(AND(E130&lt;&gt;"",DAY(E130)&gt;10),F130*0.00033*(DAY(E130)-10),0)</f>
        <v>0</v>
      </c>
    </row>
    <row r="131" customFormat="false" ht="15" hidden="false" customHeight="true" outlineLevel="0" collapsed="false">
      <c r="B131" s="61" t="s">
        <v>48</v>
      </c>
      <c r="C131" s="61"/>
      <c r="D131" s="61"/>
      <c r="E131" s="62" t="s">
        <v>49</v>
      </c>
      <c r="F131" s="63" t="n">
        <f aca="false">SUM(F11:F130)</f>
        <v>162791.588462308</v>
      </c>
      <c r="G131" s="63" t="n">
        <f aca="false">SUM(G11:G130)</f>
        <v>0</v>
      </c>
      <c r="H131" s="64"/>
      <c r="I131" s="64"/>
      <c r="J131" s="64"/>
      <c r="K131" s="64"/>
      <c r="L131" s="64"/>
      <c r="M131" s="64"/>
      <c r="N131" s="64"/>
      <c r="O131" s="64"/>
      <c r="P131" s="63" t="n">
        <f aca="false">SUM(P11:P130)</f>
        <v>0</v>
      </c>
      <c r="Q131" s="63" t="n">
        <f aca="false">SUM(Q11:Q130)</f>
        <v>0</v>
      </c>
    </row>
    <row r="132" customFormat="false" ht="15" hidden="false" customHeight="false" outlineLevel="0" collapsed="false">
      <c r="E132" s="65" t="s">
        <v>50</v>
      </c>
      <c r="F132" s="66" t="n">
        <f aca="false">F131-G131</f>
        <v>162791.588462308</v>
      </c>
    </row>
  </sheetData>
  <mergeCells count="11">
    <mergeCell ref="B1:Q1"/>
    <mergeCell ref="B3:Q3"/>
    <mergeCell ref="C4:G4"/>
    <mergeCell ref="C5:G5"/>
    <mergeCell ref="B7:Q7"/>
    <mergeCell ref="B8:D8"/>
    <mergeCell ref="F8:G8"/>
    <mergeCell ref="I8:J8"/>
    <mergeCell ref="K8:N8"/>
    <mergeCell ref="P8:Q8"/>
    <mergeCell ref="B131:D1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5"/>
    <col collapsed="false" customWidth="true" hidden="false" outlineLevel="0" max="5" min="4" style="0" width="16"/>
  </cols>
  <sheetData>
    <row r="1" customFormat="false" ht="20.85" hidden="false" customHeight="true" outlineLevel="0" collapsed="false">
      <c r="A1" s="67" t="s">
        <v>51</v>
      </c>
      <c r="B1" s="67"/>
      <c r="C1" s="67"/>
      <c r="D1" s="67"/>
      <c r="E1" s="67"/>
    </row>
    <row r="2" customFormat="false" ht="15" hidden="false" customHeight="false" outlineLevel="0" collapsed="false">
      <c r="A2" s="68" t="s">
        <v>52</v>
      </c>
      <c r="B2" s="68"/>
      <c r="C2" s="68"/>
      <c r="D2" s="68"/>
      <c r="E2" s="68"/>
    </row>
    <row r="3" customFormat="false" ht="22.35" hidden="false" customHeight="false" outlineLevel="0" collapsed="false">
      <c r="A3" s="12" t="s">
        <v>20</v>
      </c>
      <c r="B3" s="12" t="s">
        <v>21</v>
      </c>
      <c r="C3" s="12" t="s">
        <v>53</v>
      </c>
      <c r="D3" s="12" t="s">
        <v>54</v>
      </c>
      <c r="E3" s="12" t="s">
        <v>55</v>
      </c>
    </row>
    <row r="4" customFormat="false" ht="15" hidden="false" customHeight="false" outlineLevel="0" collapsed="false">
      <c r="A4" s="38" t="n">
        <v>2020</v>
      </c>
      <c r="B4" s="37" t="s">
        <v>47</v>
      </c>
      <c r="C4" s="69" t="n">
        <v>792.429</v>
      </c>
      <c r="D4" s="70"/>
      <c r="E4" s="70" t="n">
        <v>0</v>
      </c>
    </row>
    <row r="5" customFormat="false" ht="15" hidden="false" customHeight="false" outlineLevel="0" collapsed="false">
      <c r="A5" s="71" t="n">
        <v>2020</v>
      </c>
      <c r="B5" s="72" t="s">
        <v>36</v>
      </c>
      <c r="C5" s="73" t="n">
        <v>810.083</v>
      </c>
      <c r="D5" s="74" t="n">
        <f aca="false">(C5-C4)/C4</f>
        <v>0.0222783366080747</v>
      </c>
      <c r="E5" s="74" t="n">
        <f aca="false">C5/C$4-1</f>
        <v>0.0222783366080748</v>
      </c>
    </row>
    <row r="6" customFormat="false" ht="15" hidden="false" customHeight="false" outlineLevel="0" collapsed="false">
      <c r="A6" s="38" t="n">
        <v>2020</v>
      </c>
      <c r="B6" s="37" t="s">
        <v>37</v>
      </c>
      <c r="C6" s="69" t="n">
        <v>832.313</v>
      </c>
      <c r="D6" s="70" t="n">
        <f aca="false">(C6-C5)/C5</f>
        <v>0.0274416325240747</v>
      </c>
      <c r="E6" s="70" t="n">
        <f aca="false">C6/C$4-1</f>
        <v>0.0503313230585958</v>
      </c>
    </row>
    <row r="7" customFormat="false" ht="15" hidden="false" customHeight="false" outlineLevel="0" collapsed="false">
      <c r="A7" s="31" t="n">
        <v>2020</v>
      </c>
      <c r="B7" s="30" t="s">
        <v>38</v>
      </c>
      <c r="C7" s="75" t="n">
        <v>868.442</v>
      </c>
      <c r="D7" s="76" t="n">
        <f aca="false">(C7-C6)/C6</f>
        <v>0.043407948692379</v>
      </c>
      <c r="E7" s="76" t="n">
        <f aca="false">C7/C$4-1</f>
        <v>0.0959240512399218</v>
      </c>
    </row>
    <row r="8" customFormat="false" ht="15" hidden="false" customHeight="false" outlineLevel="0" collapsed="false">
      <c r="A8" s="38" t="n">
        <v>2020</v>
      </c>
      <c r="B8" s="37" t="s">
        <v>39</v>
      </c>
      <c r="C8" s="69" t="n">
        <v>896.505</v>
      </c>
      <c r="D8" s="70" t="n">
        <f aca="false">(C8-C7)/C7</f>
        <v>0.0323141902395324</v>
      </c>
      <c r="E8" s="70" t="n">
        <f aca="false">C8/C$4-1</f>
        <v>0.131337949519768</v>
      </c>
    </row>
    <row r="9" customFormat="false" ht="15" hidden="false" customHeight="false" outlineLevel="0" collapsed="false">
      <c r="A9" s="31" t="n">
        <v>2020</v>
      </c>
      <c r="B9" s="30" t="s">
        <v>40</v>
      </c>
      <c r="C9" s="75" t="n">
        <v>925.887</v>
      </c>
      <c r="D9" s="76" t="n">
        <f aca="false">(C9-C8)/C8</f>
        <v>0.0327739387956564</v>
      </c>
      <c r="E9" s="76" t="n">
        <f aca="false">C9/C$4-1</f>
        <v>0.168416350234532</v>
      </c>
    </row>
    <row r="10" customFormat="false" ht="15" hidden="false" customHeight="false" outlineLevel="0" collapsed="false">
      <c r="A10" s="38" t="n">
        <v>2020</v>
      </c>
      <c r="B10" s="37" t="s">
        <v>41</v>
      </c>
      <c r="C10" s="69" t="n">
        <v>934.758</v>
      </c>
      <c r="D10" s="70" t="n">
        <f aca="false">(C10-C9)/C9</f>
        <v>0.00958108278872054</v>
      </c>
      <c r="E10" s="70" t="n">
        <f aca="false">C10/C$4-1</f>
        <v>0.179611044017824</v>
      </c>
    </row>
    <row r="11" customFormat="false" ht="15" hidden="false" customHeight="false" outlineLevel="0" collapsed="false">
      <c r="A11" s="31" t="n">
        <v>2021</v>
      </c>
      <c r="B11" s="30" t="s">
        <v>42</v>
      </c>
      <c r="C11" s="75" t="n">
        <v>958.844</v>
      </c>
      <c r="D11" s="76" t="n">
        <f aca="false">(C11-C10)/C10</f>
        <v>0.025767096938459</v>
      </c>
      <c r="E11" s="76" t="n">
        <f aca="false">C11/C$4-1</f>
        <v>0.210006196138708</v>
      </c>
    </row>
    <row r="12" customFormat="false" ht="15" hidden="false" customHeight="false" outlineLevel="0" collapsed="false">
      <c r="A12" s="38" t="n">
        <v>2021</v>
      </c>
      <c r="B12" s="37" t="s">
        <v>43</v>
      </c>
      <c r="C12" s="69" t="n">
        <v>983.063</v>
      </c>
      <c r="D12" s="70" t="n">
        <f aca="false">(C12-C11)/C11</f>
        <v>0.0252585404925097</v>
      </c>
      <c r="E12" s="70" t="n">
        <f aca="false">C12/C$4-1</f>
        <v>0.240569186640065</v>
      </c>
    </row>
    <row r="13" customFormat="false" ht="15" hidden="false" customHeight="false" outlineLevel="0" collapsed="false">
      <c r="A13" s="31" t="n">
        <v>2021</v>
      </c>
      <c r="B13" s="30" t="s">
        <v>44</v>
      </c>
      <c r="C13" s="75" t="n">
        <v>1011.948</v>
      </c>
      <c r="D13" s="76" t="n">
        <f aca="false">(C13-C12)/C12</f>
        <v>0.029382654010984</v>
      </c>
      <c r="E13" s="76" t="n">
        <f aca="false">C13/C$4-1</f>
        <v>0.277020401827798</v>
      </c>
    </row>
    <row r="14" customFormat="false" ht="15" hidden="false" customHeight="false" outlineLevel="0" collapsed="false">
      <c r="A14" s="38" t="n">
        <v>2021</v>
      </c>
      <c r="B14" s="37" t="s">
        <v>45</v>
      </c>
      <c r="C14" s="69" t="n">
        <v>1027.211</v>
      </c>
      <c r="D14" s="70" t="n">
        <f aca="false">(C14-C13)/C13</f>
        <v>0.0150827908153384</v>
      </c>
      <c r="E14" s="70" t="n">
        <f aca="false">C14/C$4-1</f>
        <v>0.296281433415486</v>
      </c>
    </row>
    <row r="15" customFormat="false" ht="15" hidden="false" customHeight="false" outlineLevel="0" collapsed="false">
      <c r="A15" s="31" t="n">
        <v>2021</v>
      </c>
      <c r="B15" s="30" t="s">
        <v>46</v>
      </c>
      <c r="C15" s="75" t="n">
        <v>1069.289</v>
      </c>
      <c r="D15" s="76" t="n">
        <f aca="false">(C15-C14)/C14</f>
        <v>0.04096334638161</v>
      </c>
      <c r="E15" s="76" t="n">
        <f aca="false">C15/C$4-1</f>
        <v>0.349381458780534</v>
      </c>
    </row>
    <row r="16" customFormat="false" ht="15" hidden="false" customHeight="false" outlineLevel="0" collapsed="false">
      <c r="A16" s="38" t="n">
        <v>2021</v>
      </c>
      <c r="B16" s="37" t="s">
        <v>47</v>
      </c>
      <c r="C16" s="69" t="n">
        <v>1075.733</v>
      </c>
      <c r="D16" s="70" t="n">
        <f aca="false">(C16-C15)/C15</f>
        <v>0.00602643438770993</v>
      </c>
      <c r="E16" s="70" t="n">
        <f aca="false">C16/C$4-1</f>
        <v>0.357513417605867</v>
      </c>
    </row>
    <row r="17" customFormat="false" ht="15" hidden="false" customHeight="false" outlineLevel="0" collapsed="false">
      <c r="A17" s="71" t="n">
        <v>2021</v>
      </c>
      <c r="B17" s="72" t="s">
        <v>36</v>
      </c>
      <c r="C17" s="73" t="n">
        <v>1084.095</v>
      </c>
      <c r="D17" s="74" t="n">
        <f aca="false">(C17-C16)/C16</f>
        <v>0.00777330434224857</v>
      </c>
      <c r="E17" s="74" t="n">
        <f aca="false">C17/C$4-1</f>
        <v>0.368065782549604</v>
      </c>
    </row>
    <row r="18" customFormat="false" ht="15" hidden="false" customHeight="false" outlineLevel="0" collapsed="false">
      <c r="A18" s="38" t="n">
        <v>2021</v>
      </c>
      <c r="B18" s="37" t="s">
        <v>37</v>
      </c>
      <c r="C18" s="69" t="n">
        <v>1091.29</v>
      </c>
      <c r="D18" s="70" t="n">
        <f aca="false">(C18-C17)/C17</f>
        <v>0.0066368722298322</v>
      </c>
      <c r="E18" s="70" t="n">
        <f aca="false">C18/C$4-1</f>
        <v>0.377145460350391</v>
      </c>
    </row>
    <row r="19" customFormat="false" ht="15" hidden="false" customHeight="false" outlineLevel="0" collapsed="false">
      <c r="A19" s="31" t="n">
        <v>2021</v>
      </c>
      <c r="B19" s="30" t="s">
        <v>38</v>
      </c>
      <c r="C19" s="75" t="n">
        <v>1084.312</v>
      </c>
      <c r="D19" s="76" t="n">
        <f aca="false">(C19-C18)/C18</f>
        <v>-0.00639426733498893</v>
      </c>
      <c r="E19" s="76" t="n">
        <f aca="false">C19/C$4-1</f>
        <v>0.368339624117744</v>
      </c>
    </row>
    <row r="20" customFormat="false" ht="15" hidden="false" customHeight="false" outlineLevel="0" collapsed="false">
      <c r="A20" s="38" t="n">
        <v>2021</v>
      </c>
      <c r="B20" s="37" t="s">
        <v>39</v>
      </c>
      <c r="C20" s="69" t="n">
        <v>1091.283</v>
      </c>
      <c r="D20" s="70" t="n">
        <f aca="false">(C20-C19)/C19</f>
        <v>0.00642896140594221</v>
      </c>
      <c r="E20" s="70" t="n">
        <f aca="false">C20/C$4-1</f>
        <v>0.377136626751419</v>
      </c>
    </row>
    <row r="21" customFormat="false" ht="15" hidden="false" customHeight="false" outlineLevel="0" collapsed="false">
      <c r="A21" s="31" t="n">
        <v>2021</v>
      </c>
      <c r="B21" s="30" t="s">
        <v>40</v>
      </c>
      <c r="C21" s="75" t="n">
        <v>1091.483</v>
      </c>
      <c r="D21" s="76" t="n">
        <f aca="false">(C21-C20)/C20</f>
        <v>0.000183270517363549</v>
      </c>
      <c r="E21" s="76" t="n">
        <f aca="false">C21/C$4-1</f>
        <v>0.377389015293484</v>
      </c>
    </row>
    <row r="22" customFormat="false" ht="15" hidden="false" customHeight="false" outlineLevel="0" collapsed="false">
      <c r="A22" s="38" t="n">
        <v>2021</v>
      </c>
      <c r="B22" s="37" t="s">
        <v>41</v>
      </c>
      <c r="C22" s="69" t="n">
        <v>1100.988</v>
      </c>
      <c r="D22" s="70" t="n">
        <f aca="false">(C22-C21)/C21</f>
        <v>0.0087083353565746</v>
      </c>
      <c r="E22" s="70" t="n">
        <f aca="false">C22/C$4-1</f>
        <v>0.389383780755122</v>
      </c>
    </row>
    <row r="23" customFormat="false" ht="15" hidden="false" customHeight="false" outlineLevel="0" collapsed="false">
      <c r="A23" s="31" t="n">
        <v>2022</v>
      </c>
      <c r="B23" s="30" t="s">
        <v>42</v>
      </c>
      <c r="C23" s="75" t="n">
        <v>1120.999</v>
      </c>
      <c r="D23" s="76" t="n">
        <f aca="false">(C23-C22)/C22</f>
        <v>0.0181754932842138</v>
      </c>
      <c r="E23" s="76" t="n">
        <f aca="false">C23/C$4-1</f>
        <v>0.414636516331432</v>
      </c>
    </row>
    <row r="24" customFormat="false" ht="15" hidden="false" customHeight="false" outlineLevel="0" collapsed="false">
      <c r="A24" s="38" t="n">
        <v>2022</v>
      </c>
      <c r="B24" s="37" t="s">
        <v>43</v>
      </c>
      <c r="C24" s="69" t="n">
        <v>1141.546</v>
      </c>
      <c r="D24" s="70" t="n">
        <f aca="false">(C24-C23)/C23</f>
        <v>0.0183291867343325</v>
      </c>
      <c r="E24" s="70" t="n">
        <f aca="false">C24/C$4-1</f>
        <v>0.440565653200476</v>
      </c>
    </row>
    <row r="25" customFormat="false" ht="15" hidden="false" customHeight="false" outlineLevel="0" collapsed="false">
      <c r="A25" s="31" t="n">
        <v>2022</v>
      </c>
      <c r="B25" s="30" t="s">
        <v>44</v>
      </c>
      <c r="C25" s="75" t="n">
        <v>1161.418</v>
      </c>
      <c r="D25" s="76" t="n">
        <f aca="false">(C25-C24)/C24</f>
        <v>0.0174079712950681</v>
      </c>
      <c r="E25" s="76" t="n">
        <f aca="false">C25/C$4-1</f>
        <v>0.465642978740051</v>
      </c>
    </row>
    <row r="26" customFormat="false" ht="15" hidden="false" customHeight="false" outlineLevel="0" collapsed="false">
      <c r="A26" s="38" t="n">
        <v>2022</v>
      </c>
      <c r="B26" s="37" t="s">
        <v>45</v>
      </c>
      <c r="C26" s="69" t="n">
        <v>1177.809</v>
      </c>
      <c r="D26" s="70" t="n">
        <f aca="false">(C26-C25)/C25</f>
        <v>0.0141129205850091</v>
      </c>
      <c r="E26" s="70" t="n">
        <f aca="false">C26/C$4-1</f>
        <v>0.486327481704986</v>
      </c>
    </row>
    <row r="27" customFormat="false" ht="15" hidden="false" customHeight="false" outlineLevel="0" collapsed="false">
      <c r="A27" s="31" t="n">
        <v>2022</v>
      </c>
      <c r="B27" s="30" t="s">
        <v>46</v>
      </c>
      <c r="C27" s="75" t="n">
        <v>1183.953</v>
      </c>
      <c r="D27" s="76" t="n">
        <f aca="false">(C27-C26)/C26</f>
        <v>0.00521646548803754</v>
      </c>
      <c r="E27" s="76" t="n">
        <f aca="false">C27/C$4-1</f>
        <v>0.494080857717221</v>
      </c>
    </row>
    <row r="28" customFormat="false" ht="15" hidden="false" customHeight="false" outlineLevel="0" collapsed="false">
      <c r="A28" s="38" t="n">
        <v>2022</v>
      </c>
      <c r="B28" s="37" t="s">
        <v>47</v>
      </c>
      <c r="C28" s="69" t="n">
        <v>1190.882</v>
      </c>
      <c r="D28" s="70" t="n">
        <f aca="false">(C28-C27)/C27</f>
        <v>0.00585242826362203</v>
      </c>
      <c r="E28" s="70" t="n">
        <f aca="false">C28/C$4-1</f>
        <v>0.502824858757062</v>
      </c>
    </row>
    <row r="29" customFormat="false" ht="15" hidden="false" customHeight="false" outlineLevel="0" collapsed="false">
      <c r="A29" s="71" t="n">
        <v>2022</v>
      </c>
      <c r="B29" s="72" t="s">
        <v>36</v>
      </c>
      <c r="C29" s="73" t="n">
        <v>1193.337</v>
      </c>
      <c r="D29" s="74" t="n">
        <f aca="false">(C29-C28)/C28</f>
        <v>0.00206149727680822</v>
      </c>
      <c r="E29" s="74" t="n">
        <f aca="false">C29/C$4-1</f>
        <v>0.50592292811091</v>
      </c>
    </row>
    <row r="30" customFormat="false" ht="15" hidden="false" customHeight="false" outlineLevel="0" collapsed="false">
      <c r="A30" s="38" t="n">
        <v>2022</v>
      </c>
      <c r="B30" s="37" t="s">
        <v>37</v>
      </c>
      <c r="C30" s="69" t="n">
        <v>1185.004</v>
      </c>
      <c r="D30" s="70" t="n">
        <f aca="false">(C30-C29)/C29</f>
        <v>-0.00698293943789565</v>
      </c>
      <c r="E30" s="70" t="n">
        <f aca="false">C30/C$4-1</f>
        <v>0.495407159505773</v>
      </c>
    </row>
    <row r="31" customFormat="false" ht="15" hidden="false" customHeight="false" outlineLevel="0" collapsed="false">
      <c r="A31" s="31" t="n">
        <v>2022</v>
      </c>
      <c r="B31" s="30" t="s">
        <v>38</v>
      </c>
      <c r="C31" s="75" t="n">
        <v>1173.793</v>
      </c>
      <c r="D31" s="76" t="n">
        <f aca="false">(C31-C30)/C30</f>
        <v>-0.00946072755872555</v>
      </c>
      <c r="E31" s="76" t="n">
        <f aca="false">C31/C$4-1</f>
        <v>0.481259519780321</v>
      </c>
    </row>
    <row r="32" customFormat="false" ht="15" hidden="false" customHeight="false" outlineLevel="0" collapsed="false">
      <c r="A32" s="38" t="n">
        <v>2022</v>
      </c>
      <c r="B32" s="37" t="s">
        <v>39</v>
      </c>
      <c r="C32" s="69" t="n">
        <v>1162.391</v>
      </c>
      <c r="D32" s="70" t="n">
        <f aca="false">(C32-C31)/C31</f>
        <v>-0.00971380814163981</v>
      </c>
      <c r="E32" s="70" t="n">
        <f aca="false">C32/C$4-1</f>
        <v>0.466870848997197</v>
      </c>
    </row>
    <row r="33" customFormat="false" ht="15" hidden="false" customHeight="false" outlineLevel="0" collapsed="false">
      <c r="A33" s="31" t="n">
        <v>2022</v>
      </c>
      <c r="B33" s="30" t="s">
        <v>40</v>
      </c>
      <c r="C33" s="75" t="n">
        <v>1155.829</v>
      </c>
      <c r="D33" s="76" t="n">
        <f aca="false">(C33-C32)/C32</f>
        <v>-0.00564526050184501</v>
      </c>
      <c r="E33" s="76" t="n">
        <f aca="false">C33/C$4-1</f>
        <v>0.458589980932046</v>
      </c>
    </row>
    <row r="34" customFormat="false" ht="15" hidden="false" customHeight="false" outlineLevel="0" collapsed="false">
      <c r="A34" s="38" t="n">
        <v>2022</v>
      </c>
      <c r="B34" s="37" t="s">
        <v>41</v>
      </c>
      <c r="C34" s="69" t="n">
        <v>1161.006</v>
      </c>
      <c r="D34" s="70" t="n">
        <f aca="false">(C34-C33)/C33</f>
        <v>0.00447903625882387</v>
      </c>
      <c r="E34" s="70" t="n">
        <f aca="false">C34/C$4-1</f>
        <v>0.465123058343397</v>
      </c>
    </row>
    <row r="35" customFormat="false" ht="15" hidden="false" customHeight="false" outlineLevel="0" collapsed="false">
      <c r="A35" s="31" t="n">
        <v>2023</v>
      </c>
      <c r="B35" s="30" t="s">
        <v>42</v>
      </c>
      <c r="C35" s="75" t="n">
        <v>1163.465</v>
      </c>
      <c r="D35" s="76" t="n">
        <f aca="false">(C35-C34)/C34</f>
        <v>0.00211799077696397</v>
      </c>
      <c r="E35" s="76" t="n">
        <f aca="false">C35/C$4-1</f>
        <v>0.468226175468086</v>
      </c>
    </row>
    <row r="36" customFormat="false" ht="15" hidden="false" customHeight="false" outlineLevel="0" collapsed="false">
      <c r="A36" s="38" t="n">
        <v>2023</v>
      </c>
      <c r="B36" s="37" t="s">
        <v>43</v>
      </c>
      <c r="C36" s="69" t="n">
        <v>1162.761</v>
      </c>
      <c r="D36" s="70" t="n">
        <f aca="false">(C36-C35)/C35</f>
        <v>-0.00060508910882575</v>
      </c>
      <c r="E36" s="70" t="n">
        <f aca="false">C36/C$4-1</f>
        <v>0.467337767800017</v>
      </c>
    </row>
    <row r="37" customFormat="false" ht="15" hidden="false" customHeight="false" outlineLevel="0" collapsed="false">
      <c r="A37" s="31" t="n">
        <v>2023</v>
      </c>
      <c r="B37" s="30" t="s">
        <v>44</v>
      </c>
      <c r="C37" s="75" t="n">
        <v>1163.359</v>
      </c>
      <c r="D37" s="76" t="n">
        <f aca="false">(C37-C36)/C36</f>
        <v>0.000514293135046632</v>
      </c>
      <c r="E37" s="76" t="n">
        <f aca="false">C37/C$4-1</f>
        <v>0.468092409540792</v>
      </c>
    </row>
    <row r="38" customFormat="false" ht="15" hidden="false" customHeight="false" outlineLevel="0" collapsed="false">
      <c r="A38" s="38" t="n">
        <v>2023</v>
      </c>
      <c r="B38" s="37" t="s">
        <v>45</v>
      </c>
      <c r="C38" s="69" t="n">
        <v>1152.307</v>
      </c>
      <c r="D38" s="70" t="n">
        <f aca="false">(C38-C37)/C37</f>
        <v>-0.00950007693239998</v>
      </c>
      <c r="E38" s="70" t="n">
        <f aca="false">C38/C$4-1</f>
        <v>0.454145418706282</v>
      </c>
    </row>
    <row r="39" customFormat="false" ht="15" hidden="false" customHeight="false" outlineLevel="0" collapsed="false">
      <c r="A39" s="31" t="n">
        <v>2023</v>
      </c>
      <c r="B39" s="30" t="s">
        <v>46</v>
      </c>
      <c r="C39" s="75" t="n">
        <v>1131.058</v>
      </c>
      <c r="D39" s="76" t="n">
        <f aca="false">(C39-C38)/C38</f>
        <v>-0.0184403982619215</v>
      </c>
      <c r="E39" s="76" t="n">
        <f aca="false">C39/C$4-1</f>
        <v>0.427330398054589</v>
      </c>
    </row>
    <row r="40" customFormat="false" ht="15" hidden="false" customHeight="false" outlineLevel="0" collapsed="false">
      <c r="A40" s="38" t="n">
        <v>2023</v>
      </c>
      <c r="B40" s="37" t="s">
        <v>47</v>
      </c>
      <c r="C40" s="69" t="n">
        <v>1109.23</v>
      </c>
      <c r="D40" s="70" t="n">
        <f aca="false">(C40-C39)/C39</f>
        <v>-0.0192987450687763</v>
      </c>
      <c r="E40" s="70" t="n">
        <f aca="false">C40/C$4-1</f>
        <v>0.399784712573619</v>
      </c>
    </row>
    <row r="41" customFormat="false" ht="15" hidden="false" customHeight="false" outlineLevel="0" collapsed="false">
      <c r="A41" s="71" t="n">
        <v>2023</v>
      </c>
      <c r="B41" s="72" t="s">
        <v>36</v>
      </c>
      <c r="C41" s="73" t="n">
        <v>1101.204</v>
      </c>
      <c r="D41" s="74" t="n">
        <f aca="false">(C41-C40)/C40</f>
        <v>-0.00723564995537451</v>
      </c>
      <c r="E41" s="74" t="n">
        <f aca="false">C41/C$4-1</f>
        <v>0.389656360380551</v>
      </c>
    </row>
    <row r="42" customFormat="false" ht="15" hidden="false" customHeight="false" outlineLevel="0" collapsed="false">
      <c r="A42" s="38" t="n">
        <v>2023</v>
      </c>
      <c r="B42" s="37" t="s">
        <v>37</v>
      </c>
      <c r="C42" s="69" t="n">
        <v>1099.71</v>
      </c>
      <c r="D42" s="70" t="n">
        <f aca="false">(C42-C41)/C41</f>
        <v>-0.0013566968518094</v>
      </c>
      <c r="E42" s="70" t="n">
        <f aca="false">C42/C$4-1</f>
        <v>0.387771017971326</v>
      </c>
    </row>
    <row r="43" customFormat="false" ht="15" hidden="false" customHeight="false" outlineLevel="0" collapsed="false">
      <c r="A43" s="31" t="n">
        <v>2023</v>
      </c>
      <c r="B43" s="30" t="s">
        <v>38</v>
      </c>
      <c r="C43" s="75" t="n">
        <v>1103.74</v>
      </c>
      <c r="D43" s="76" t="n">
        <f aca="false">(C43-C42)/C42</f>
        <v>0.00366460248610995</v>
      </c>
      <c r="E43" s="76" t="n">
        <f aca="false">C43/C$4-1</f>
        <v>0.392856647093935</v>
      </c>
    </row>
    <row r="44" customFormat="false" ht="15" hidden="false" customHeight="false" outlineLevel="0" collapsed="false">
      <c r="A44" s="38" t="n">
        <v>2023</v>
      </c>
      <c r="B44" s="37" t="s">
        <v>39</v>
      </c>
      <c r="C44" s="69" t="n">
        <v>1109.236</v>
      </c>
      <c r="D44" s="70" t="n">
        <f aca="false">(C44-C43)/C43</f>
        <v>0.00497943356225207</v>
      </c>
      <c r="E44" s="70" t="n">
        <f aca="false">C44/C$4-1</f>
        <v>0.399792284229881</v>
      </c>
    </row>
    <row r="45" customFormat="false" ht="15" hidden="false" customHeight="false" outlineLevel="0" collapsed="false">
      <c r="A45" s="31" t="n">
        <v>2023</v>
      </c>
      <c r="B45" s="30" t="s">
        <v>40</v>
      </c>
      <c r="C45" s="75" t="n">
        <v>1115.815</v>
      </c>
      <c r="D45" s="76" t="n">
        <f aca="false">(C45-C44)/C44</f>
        <v>0.00593110934012235</v>
      </c>
      <c r="E45" s="76" t="n">
        <f aca="false">C45/C$4-1</f>
        <v>0.408094605321108</v>
      </c>
    </row>
    <row r="46" customFormat="false" ht="15" hidden="false" customHeight="false" outlineLevel="0" collapsed="false">
      <c r="A46" s="38" t="n">
        <v>2023</v>
      </c>
      <c r="B46" s="37" t="s">
        <v>41</v>
      </c>
      <c r="C46" s="69" t="n">
        <v>1124.072</v>
      </c>
      <c r="D46" s="70" t="n">
        <f aca="false">(C46-C45)/C45</f>
        <v>0.00739997221761657</v>
      </c>
      <c r="E46" s="70" t="n">
        <f aca="false">C46/C$4-1</f>
        <v>0.41851446628026</v>
      </c>
    </row>
    <row r="47" customFormat="false" ht="15" hidden="false" customHeight="false" outlineLevel="0" collapsed="false">
      <c r="A47" s="31" t="n">
        <v>2024</v>
      </c>
      <c r="B47" s="30" t="s">
        <v>42</v>
      </c>
      <c r="C47" s="75" t="n">
        <v>1124.879</v>
      </c>
      <c r="D47" s="76" t="n">
        <f aca="false">(C47-C46)/C46</f>
        <v>0.000717925542136106</v>
      </c>
      <c r="E47" s="76" t="n">
        <f aca="false">C47/C$4-1</f>
        <v>0.419532854047492</v>
      </c>
    </row>
    <row r="48" customFormat="false" ht="15" hidden="false" customHeight="false" outlineLevel="0" collapsed="false">
      <c r="A48" s="38" t="n">
        <v>2024</v>
      </c>
      <c r="B48" s="37" t="s">
        <v>43</v>
      </c>
      <c r="C48" s="69" t="n">
        <v>1119.061</v>
      </c>
      <c r="D48" s="70" t="n">
        <f aca="false">(C48-C47)/C47</f>
        <v>-0.00517211184491842</v>
      </c>
      <c r="E48" s="70" t="n">
        <f aca="false">C48/C$4-1</f>
        <v>0.412190871358822</v>
      </c>
    </row>
    <row r="49" customFormat="false" ht="15" hidden="false" customHeight="false" outlineLevel="0" collapsed="false">
      <c r="A49" s="31" t="n">
        <v>2024</v>
      </c>
      <c r="B49" s="30" t="s">
        <v>44</v>
      </c>
      <c r="C49" s="75" t="n">
        <v>1113.837</v>
      </c>
      <c r="D49" s="76" t="n">
        <f aca="false">(C49-C48)/C48</f>
        <v>-0.00466819949940167</v>
      </c>
      <c r="E49" s="76" t="n">
        <f aca="false">C49/C$4-1</f>
        <v>0.405598482640085</v>
      </c>
    </row>
    <row r="50" customFormat="false" ht="15" hidden="false" customHeight="false" outlineLevel="0" collapsed="false">
      <c r="A50" s="38" t="n">
        <v>2024</v>
      </c>
      <c r="B50" s="37" t="s">
        <v>45</v>
      </c>
      <c r="C50" s="69" t="n">
        <v>1117.28</v>
      </c>
      <c r="D50" s="70" t="n">
        <f aca="false">(C50-C49)/C49</f>
        <v>0.00309111656373418</v>
      </c>
      <c r="E50" s="70" t="n">
        <f aca="false">C50/C$4-1</f>
        <v>0.409943351391733</v>
      </c>
    </row>
    <row r="51" customFormat="false" ht="15" hidden="false" customHeight="false" outlineLevel="0" collapsed="false">
      <c r="A51" s="31" t="n">
        <v>2024</v>
      </c>
      <c r="B51" s="30" t="s">
        <v>46</v>
      </c>
      <c r="C51" s="75" t="n">
        <v>1127.233</v>
      </c>
      <c r="D51" s="76" t="n">
        <f aca="false">(C51-C50)/C50</f>
        <v>0.00890824144350563</v>
      </c>
      <c r="E51" s="76" t="n">
        <f aca="false">C51/C$4-1</f>
        <v>0.422503467187597</v>
      </c>
    </row>
    <row r="52" customFormat="false" ht="15" hidden="false" customHeight="false" outlineLevel="0" collapsed="false">
      <c r="A52" s="38" t="n">
        <v>2024</v>
      </c>
      <c r="B52" s="37" t="s">
        <v>47</v>
      </c>
      <c r="C52" s="69" t="n">
        <v>1136.409</v>
      </c>
      <c r="D52" s="70" t="n">
        <f aca="false">(C52-C51)/C51</f>
        <v>0.00814028687946517</v>
      </c>
      <c r="E52" s="70" t="n">
        <f aca="false">C52/C$4-1</f>
        <v>0.434083053497538</v>
      </c>
    </row>
    <row r="53" customFormat="false" ht="15" hidden="false" customHeight="false" outlineLevel="0" collapsed="false">
      <c r="A53" s="71" t="n">
        <v>2024</v>
      </c>
      <c r="B53" s="72" t="s">
        <v>36</v>
      </c>
      <c r="C53" s="73" t="n">
        <v>1143.313</v>
      </c>
      <c r="D53" s="74" t="n">
        <f aca="false">(C53-C52)/C52</f>
        <v>0.0060752774749232</v>
      </c>
      <c r="E53" s="74" t="n">
        <f aca="false">C53/C$4-1</f>
        <v>0.44279550596962</v>
      </c>
    </row>
    <row r="54" customFormat="false" ht="15" hidden="false" customHeight="false" outlineLevel="0" collapsed="false">
      <c r="A54" s="38" t="n">
        <v>2024</v>
      </c>
      <c r="B54" s="37" t="s">
        <v>37</v>
      </c>
      <c r="C54" s="69" t="n">
        <v>1146.575</v>
      </c>
      <c r="D54" s="70" t="n">
        <f aca="false">(C54-C53)/C53</f>
        <v>0.00285311196496493</v>
      </c>
      <c r="E54" s="70" t="n">
        <f aca="false">C54/C$4-1</f>
        <v>0.4469119630907</v>
      </c>
    </row>
    <row r="55" customFormat="false" ht="15" hidden="false" customHeight="false" outlineLevel="0" collapsed="false">
      <c r="A55" s="31" t="n">
        <v>2024</v>
      </c>
      <c r="B55" s="30" t="s">
        <v>38</v>
      </c>
      <c r="C55" s="75" t="n">
        <v>1153.718</v>
      </c>
      <c r="D55" s="76" t="n">
        <f aca="false">(C55-C54)/C54</f>
        <v>0.00622985849159456</v>
      </c>
      <c r="E55" s="76" t="n">
        <f aca="false">C55/C$4-1</f>
        <v>0.45592601987055</v>
      </c>
    </row>
    <row r="56" customFormat="false" ht="15" hidden="false" customHeight="false" outlineLevel="0" collapsed="false">
      <c r="A56" s="38" t="n">
        <v>2024</v>
      </c>
      <c r="B56" s="37" t="s">
        <v>39</v>
      </c>
      <c r="C56" s="69" t="n">
        <v>1171.272</v>
      </c>
      <c r="D56" s="70" t="n">
        <f aca="false">(C56-C55)/C55</f>
        <v>0.0152151565633889</v>
      </c>
      <c r="E56" s="70" t="n">
        <f aca="false">C56/C$4-1</f>
        <v>0.478078162207592</v>
      </c>
    </row>
    <row r="57" customFormat="false" ht="15" hidden="false" customHeight="false" outlineLevel="0" collapsed="false">
      <c r="A57" s="31" t="n">
        <v>2024</v>
      </c>
      <c r="B57" s="30" t="s">
        <v>40</v>
      </c>
      <c r="C57" s="75" t="n">
        <v>1186.462</v>
      </c>
      <c r="D57" s="76" t="n">
        <f aca="false">(C57-C56)/C56</f>
        <v>0.0129688065624382</v>
      </c>
      <c r="E57" s="76" t="n">
        <f aca="false">C57/C$4-1</f>
        <v>0.497247071977426</v>
      </c>
    </row>
    <row r="58" customFormat="false" ht="15" hidden="false" customHeight="false" outlineLevel="0" collapsed="false">
      <c r="A58" s="38" t="n">
        <v>2024</v>
      </c>
      <c r="B58" s="37" t="s">
        <v>41</v>
      </c>
      <c r="C58" s="69" t="n">
        <v>1197.615</v>
      </c>
      <c r="D58" s="70" t="n">
        <f aca="false">(C58-C57)/C57</f>
        <v>0.00940021677896133</v>
      </c>
      <c r="E58" s="70" t="n">
        <f aca="false">C58/C$4-1</f>
        <v>0.511321519025679</v>
      </c>
    </row>
    <row r="59" customFormat="false" ht="15" hidden="false" customHeight="false" outlineLevel="0" collapsed="false">
      <c r="A59" s="31" t="n">
        <v>2025</v>
      </c>
      <c r="B59" s="30" t="s">
        <v>42</v>
      </c>
      <c r="C59" s="75" t="n">
        <v>1200.848</v>
      </c>
      <c r="D59" s="76" t="n">
        <f aca="false">(C59-C58)/C58</f>
        <v>0.00269953198648977</v>
      </c>
      <c r="E59" s="76" t="n">
        <f aca="false">C59/C$4-1</f>
        <v>0.515401379808159</v>
      </c>
    </row>
    <row r="60" customFormat="false" ht="15" hidden="false" customHeight="false" outlineLevel="0" collapsed="false">
      <c r="A60" s="38" t="n">
        <v>2025</v>
      </c>
      <c r="B60" s="37" t="s">
        <v>43</v>
      </c>
      <c r="C60" s="69" t="n">
        <v>1213.577</v>
      </c>
      <c r="D60" s="70" t="n">
        <f aca="false">(C60-C59)/C59</f>
        <v>0.0106000093267425</v>
      </c>
      <c r="E60" s="70" t="n">
        <f aca="false">C60/C$4-1</f>
        <v>0.531464648567884</v>
      </c>
    </row>
    <row r="61" customFormat="false" ht="15" hidden="false" customHeight="false" outlineLevel="0" collapsed="false">
      <c r="A61" s="31" t="n">
        <v>2025</v>
      </c>
      <c r="B61" s="30" t="s">
        <v>44</v>
      </c>
      <c r="C61" s="75" t="n">
        <v>1209.451</v>
      </c>
      <c r="D61" s="76" t="n">
        <f aca="false">(C61-C60)/C60</f>
        <v>-0.00339986667512649</v>
      </c>
      <c r="E61" s="76" t="n">
        <f aca="false">C61/C$4-1</f>
        <v>0.526257872945084</v>
      </c>
    </row>
    <row r="62" customFormat="false" ht="15" hidden="false" customHeight="false" outlineLevel="0" collapsed="false">
      <c r="A62" s="38" t="n">
        <v>2025</v>
      </c>
      <c r="B62" s="37" t="s">
        <v>45</v>
      </c>
      <c r="C62" s="69" t="n">
        <v>1212.354</v>
      </c>
      <c r="D62" s="70" t="n">
        <f aca="false">(C62-C61)/C61</f>
        <v>0.00240026259848478</v>
      </c>
      <c r="E62" s="70" t="n">
        <f aca="false">C62/C$4-1</f>
        <v>0.529921292633157</v>
      </c>
    </row>
    <row r="63" customFormat="false" ht="15" hidden="false" customHeight="false" outlineLevel="0" collapsed="false">
      <c r="A63" s="31" t="n">
        <v>2025</v>
      </c>
      <c r="B63" s="30" t="s">
        <v>46</v>
      </c>
      <c r="C63" s="75" t="n">
        <v>1206.413</v>
      </c>
      <c r="D63" s="76" t="n">
        <f aca="false">(C63-C62)/C62</f>
        <v>-0.00490038388127563</v>
      </c>
      <c r="E63" s="76" t="n">
        <f aca="false">C63/C$4-1</f>
        <v>0.522424090991117</v>
      </c>
    </row>
    <row r="64" customFormat="false" ht="15" hidden="false" customHeight="false" outlineLevel="0" collapsed="false">
      <c r="A64" s="38" t="n">
        <v>2025</v>
      </c>
      <c r="B64" s="37" t="s">
        <v>47</v>
      </c>
      <c r="C64" s="69" t="n">
        <v>1186.266</v>
      </c>
      <c r="D64" s="70" t="n">
        <f aca="false">(C64-C63)/C63</f>
        <v>-0.0166999195134667</v>
      </c>
      <c r="E64" s="70" t="n">
        <f aca="false">C64/C$4-1</f>
        <v>0.496999731206203</v>
      </c>
    </row>
    <row r="65" customFormat="false" ht="15" hidden="false" customHeight="false" outlineLevel="0" collapsed="false">
      <c r="A65" s="71" t="n">
        <v>2025</v>
      </c>
      <c r="B65" s="72" t="s">
        <v>36</v>
      </c>
      <c r="C65" s="73" t="n">
        <v>1177.132</v>
      </c>
      <c r="D65" s="74" t="n">
        <f aca="false">(C65-C64)/C64</f>
        <v>-0.00769979077205282</v>
      </c>
      <c r="E65" s="74" t="n">
        <f aca="false">C65/C$4-1</f>
        <v>0.485473146490096</v>
      </c>
    </row>
    <row r="66" customFormat="false" ht="15" hidden="false" customHeight="false" outlineLevel="0" collapsed="false">
      <c r="A66" s="38" t="n">
        <v>2025</v>
      </c>
      <c r="B66" s="37" t="s">
        <v>37</v>
      </c>
      <c r="C66" s="69" t="n">
        <v>1181.37</v>
      </c>
      <c r="D66" s="70" t="n">
        <f aca="false">(C66-C65)/C65</f>
        <v>0.00360027592487489</v>
      </c>
      <c r="E66" s="70" t="n">
        <f aca="false">C66/C$4-1</f>
        <v>0.490821259696452</v>
      </c>
    </row>
    <row r="67" customFormat="false" ht="15" hidden="false" customHeight="false" outlineLevel="0" collapsed="false">
      <c r="A67" s="31" t="n">
        <v>2025</v>
      </c>
      <c r="B67" s="30" t="s">
        <v>38</v>
      </c>
      <c r="C67" s="75" t="n">
        <v>1186.331</v>
      </c>
      <c r="D67" s="76" t="n">
        <f aca="false">(C67-C66)/C66</f>
        <v>0.00419936175795899</v>
      </c>
      <c r="E67" s="76" t="n">
        <f aca="false">C67/C$4-1</f>
        <v>0.497081757482374</v>
      </c>
    </row>
    <row r="68" customFormat="false" ht="15" hidden="false" customHeight="false" outlineLevel="0" collapsed="false">
      <c r="A68" s="38" t="n">
        <v>2025</v>
      </c>
      <c r="B68" s="37" t="s">
        <v>39</v>
      </c>
      <c r="C68" s="69" t="n">
        <v>1182.061</v>
      </c>
      <c r="D68" s="70" t="n">
        <f aca="false">(C68-C67)/C67</f>
        <v>-0.00359933273260159</v>
      </c>
      <c r="E68" s="70" t="n">
        <f aca="false">C68/C$4-1</f>
        <v>0.491693262109287</v>
      </c>
    </row>
    <row r="69" customFormat="false" ht="15" hidden="false" customHeight="false" outlineLevel="0" collapsed="false">
      <c r="A69" s="31" t="n">
        <v>2025</v>
      </c>
      <c r="B69" s="30" t="s">
        <v>40</v>
      </c>
      <c r="C69" s="75" t="n">
        <v>1185.252</v>
      </c>
      <c r="D69" s="76" t="n">
        <f aca="false">(C69-C68)/C68</f>
        <v>0.0026995222750772</v>
      </c>
      <c r="E69" s="76" t="n">
        <f aca="false">C69/C$4-1</f>
        <v>0.495720121297933</v>
      </c>
    </row>
    <row r="70" customFormat="false" ht="15" hidden="false" customHeight="false" outlineLevel="0" collapsed="false">
      <c r="A70" s="38" t="n">
        <v>2025</v>
      </c>
      <c r="B70" s="37" t="s">
        <v>41</v>
      </c>
      <c r="C70" s="69" t="n">
        <v>1185.134</v>
      </c>
      <c r="D70" s="70" t="n">
        <f aca="false">(C70-C69)/C69</f>
        <v>-9.95568874804161E-005</v>
      </c>
      <c r="E70" s="70" t="n">
        <f aca="false">C70/C$4-1</f>
        <v>0.495571212058115</v>
      </c>
    </row>
    <row r="71" customFormat="false" ht="15" hidden="false" customHeight="false" outlineLevel="0" collapsed="false">
      <c r="A71" s="31" t="n">
        <v>2026</v>
      </c>
      <c r="B71" s="30" t="s">
        <v>42</v>
      </c>
      <c r="C71" s="75" t="n">
        <v>1189.993</v>
      </c>
      <c r="D71" s="76" t="n">
        <f aca="false">(C71-C70)/C70</f>
        <v>0.00409995831694975</v>
      </c>
      <c r="E71" s="76" t="n">
        <f aca="false">C71/C$4-1</f>
        <v>0.501702991687583</v>
      </c>
    </row>
    <row r="72" customFormat="false" ht="15" hidden="false" customHeight="false" outlineLevel="0" collapsed="false">
      <c r="A72" s="38" t="n">
        <v>2026</v>
      </c>
      <c r="B72" s="37" t="s">
        <v>43</v>
      </c>
      <c r="C72" s="69" t="n">
        <v>1181.306</v>
      </c>
      <c r="D72" s="70" t="n">
        <f aca="false">(C72-C71)/C71</f>
        <v>-0.00730004294142898</v>
      </c>
      <c r="E72" s="70" t="n">
        <f aca="false">C72/C$4-1</f>
        <v>0.490740495362992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6" min="5" style="0" width="16"/>
    <col collapsed="false" customWidth="true" hidden="false" outlineLevel="0" max="7" min="7" style="0" width="13"/>
    <col collapsed="false" customWidth="true" hidden="false" outlineLevel="0" max="8" min="8" style="0" width="16"/>
  </cols>
  <sheetData>
    <row r="1" customFormat="false" ht="20.85" hidden="false" customHeight="true" outlineLevel="0" collapsed="false">
      <c r="A1" s="67" t="s">
        <v>56</v>
      </c>
      <c r="B1" s="67"/>
      <c r="C1" s="67"/>
      <c r="D1" s="67"/>
      <c r="E1" s="67"/>
      <c r="F1" s="67"/>
      <c r="G1" s="67"/>
      <c r="H1" s="67"/>
    </row>
    <row r="2" customFormat="false" ht="15" hidden="false" customHeight="false" outlineLevel="0" collapsed="false">
      <c r="A2" s="68" t="s">
        <v>57</v>
      </c>
      <c r="B2" s="68"/>
      <c r="C2" s="68"/>
      <c r="D2" s="68"/>
      <c r="E2" s="68"/>
      <c r="F2" s="68"/>
      <c r="G2" s="68"/>
      <c r="H2" s="68"/>
    </row>
    <row r="3" customFormat="false" ht="22.35" hidden="false" customHeight="false" outlineLevel="0" collapsed="false">
      <c r="A3" s="12" t="s">
        <v>58</v>
      </c>
      <c r="B3" s="12" t="s">
        <v>59</v>
      </c>
      <c r="C3" s="12" t="s">
        <v>60</v>
      </c>
      <c r="D3" s="12" t="s">
        <v>61</v>
      </c>
      <c r="E3" s="12" t="s">
        <v>62</v>
      </c>
      <c r="F3" s="12" t="s">
        <v>63</v>
      </c>
      <c r="G3" s="12" t="s">
        <v>64</v>
      </c>
      <c r="H3" s="12" t="s">
        <v>65</v>
      </c>
    </row>
    <row r="4" customFormat="false" ht="15" hidden="false" customHeight="false" outlineLevel="0" collapsed="false">
      <c r="A4" s="77" t="s">
        <v>66</v>
      </c>
      <c r="B4" s="78" t="s">
        <v>67</v>
      </c>
      <c r="C4" s="78" t="s">
        <v>68</v>
      </c>
      <c r="D4" s="79" t="n">
        <v>0</v>
      </c>
      <c r="E4" s="80" t="n">
        <v>0</v>
      </c>
      <c r="F4" s="81" t="n">
        <f aca="false">'Índices IGPM'!C17/'Índices IGPM'!C5-1</f>
        <v>0.338251759387618</v>
      </c>
      <c r="G4" s="82" t="n">
        <v>1</v>
      </c>
      <c r="H4" s="83" t="n">
        <v>719.46</v>
      </c>
    </row>
    <row r="5" customFormat="false" ht="15" hidden="false" customHeight="false" outlineLevel="0" collapsed="false">
      <c r="A5" s="13" t="s">
        <v>69</v>
      </c>
      <c r="B5" s="15" t="s">
        <v>70</v>
      </c>
      <c r="C5" s="15" t="s">
        <v>71</v>
      </c>
      <c r="D5" s="79" t="n">
        <v>0.006</v>
      </c>
      <c r="E5" s="84" t="n">
        <f aca="false">(1+D5)^12-1</f>
        <v>0.0744241677219248</v>
      </c>
      <c r="F5" s="81" t="n">
        <f aca="false">'Índices IGPM'!C29/'Índices IGPM'!C17-1</f>
        <v>0.100767921630484</v>
      </c>
      <c r="G5" s="85" t="n">
        <f aca="false">IF(F4=0,1,(1+F4)*(1+E5))</f>
        <v>1.43785003278244</v>
      </c>
      <c r="H5" s="86" t="n">
        <f aca="false">H4*G5</f>
        <v>1034.47558458566</v>
      </c>
    </row>
    <row r="6" customFormat="false" ht="15" hidden="false" customHeight="false" outlineLevel="0" collapsed="false">
      <c r="A6" s="77" t="s">
        <v>72</v>
      </c>
      <c r="B6" s="78" t="s">
        <v>73</v>
      </c>
      <c r="C6" s="78" t="s">
        <v>74</v>
      </c>
      <c r="D6" s="79" t="n">
        <v>0.0065</v>
      </c>
      <c r="E6" s="80" t="n">
        <f aca="false">(1+D6)^12-1</f>
        <v>0.0808498103655155</v>
      </c>
      <c r="F6" s="81" t="n">
        <f aca="false">'Índices IGPM'!C41/'Índices IGPM'!C29-1</f>
        <v>-0.0772061873552903</v>
      </c>
      <c r="G6" s="82" t="n">
        <f aca="false">IF(F5=0,1,(1+F5)*(1+E6))</f>
        <v>1.18976479935075</v>
      </c>
      <c r="H6" s="86" t="n">
        <f aca="false">H5*G6</f>
        <v>1230.78263632781</v>
      </c>
    </row>
    <row r="7" customFormat="false" ht="15" hidden="false" customHeight="false" outlineLevel="0" collapsed="false">
      <c r="A7" s="13" t="s">
        <v>75</v>
      </c>
      <c r="B7" s="15" t="s">
        <v>76</v>
      </c>
      <c r="C7" s="15" t="s">
        <v>77</v>
      </c>
      <c r="D7" s="79" t="n">
        <v>0.007</v>
      </c>
      <c r="E7" s="84" t="n">
        <f aca="false">(1+D7)^12-1</f>
        <v>0.0873106619155055</v>
      </c>
      <c r="F7" s="81" t="n">
        <f aca="false">'Índices IGPM'!C53/'Índices IGPM'!C41-1</f>
        <v>0.0382390547073932</v>
      </c>
      <c r="G7" s="85" t="n">
        <f aca="false">IF(F6=0,1,(1+F6)*(1+E7))</f>
        <v>1.00336355123825</v>
      </c>
      <c r="H7" s="86" t="n">
        <f aca="false">H6*G7</f>
        <v>1234.92243678825</v>
      </c>
    </row>
    <row r="8" customFormat="false" ht="15" hidden="false" customHeight="false" outlineLevel="0" collapsed="false">
      <c r="A8" s="77" t="s">
        <v>78</v>
      </c>
      <c r="B8" s="78" t="s">
        <v>79</v>
      </c>
      <c r="C8" s="78" t="s">
        <v>80</v>
      </c>
      <c r="D8" s="79" t="n">
        <v>0.0075</v>
      </c>
      <c r="E8" s="80" t="n">
        <f aca="false">(1+D8)^12-1</f>
        <v>0.0938068976709838</v>
      </c>
      <c r="F8" s="81" t="n">
        <f aca="false">'Índices IGPM'!C65/'Índices IGPM'!C53-1</f>
        <v>0.0295798263467659</v>
      </c>
      <c r="G8" s="82" t="n">
        <f aca="false">IF(F7=0,1,(1+F7)*(1+E8))</f>
        <v>1.13563303947035</v>
      </c>
      <c r="H8" s="86" t="n">
        <f aca="false">H7*G8</f>
        <v>1402.41872039997</v>
      </c>
    </row>
    <row r="9" customFormat="false" ht="15" hidden="false" customHeight="false" outlineLevel="0" collapsed="false">
      <c r="A9" s="13" t="s">
        <v>81</v>
      </c>
      <c r="B9" s="15" t="s">
        <v>82</v>
      </c>
      <c r="C9" s="15" t="s">
        <v>83</v>
      </c>
      <c r="D9" s="79" t="n">
        <v>0.008</v>
      </c>
      <c r="E9" s="84" t="n">
        <f aca="false">(1+D9)^12-1</f>
        <v>0.100338693716146</v>
      </c>
      <c r="F9" s="87" t="n">
        <v>0</v>
      </c>
      <c r="G9" s="85" t="n">
        <f aca="false">IF(F8=0,1,(1+F8)*(1+E9))</f>
        <v>1.1328865211989</v>
      </c>
      <c r="H9" s="86" t="n">
        <f aca="false">H8*G9</f>
        <v>1588.78126541813</v>
      </c>
    </row>
    <row r="10" customFormat="false" ht="15" hidden="false" customHeight="false" outlineLevel="0" collapsed="false">
      <c r="A10" s="77" t="s">
        <v>84</v>
      </c>
      <c r="B10" s="78" t="s">
        <v>85</v>
      </c>
      <c r="C10" s="78" t="s">
        <v>86</v>
      </c>
      <c r="D10" s="79" t="n">
        <v>0.0085</v>
      </c>
      <c r="E10" s="80" t="n">
        <f aca="false">(1+D10)^12-1</f>
        <v>0.106906226923436</v>
      </c>
      <c r="F10" s="87" t="n">
        <v>0</v>
      </c>
      <c r="G10" s="82" t="n">
        <f aca="false">IF(F9=0,1,(1+F9)*(1+E10))</f>
        <v>1</v>
      </c>
      <c r="H10" s="86" t="n">
        <f aca="false">H9*G10</f>
        <v>1588.78126541813</v>
      </c>
    </row>
    <row r="11" customFormat="false" ht="15" hidden="false" customHeight="false" outlineLevel="0" collapsed="false">
      <c r="A11" s="13" t="s">
        <v>87</v>
      </c>
      <c r="B11" s="15" t="s">
        <v>88</v>
      </c>
      <c r="C11" s="15" t="s">
        <v>89</v>
      </c>
      <c r="D11" s="79" t="n">
        <v>0.0085</v>
      </c>
      <c r="E11" s="84" t="n">
        <f aca="false">(1+D11)^12-1</f>
        <v>0.106906226923436</v>
      </c>
      <c r="F11" s="87" t="n">
        <v>0</v>
      </c>
      <c r="G11" s="85" t="n">
        <f aca="false">IF(F10=0,1,(1+F10)*(1+E11))</f>
        <v>1</v>
      </c>
      <c r="H11" s="86" t="n">
        <f aca="false">H10*G11</f>
        <v>1588.78126541813</v>
      </c>
    </row>
    <row r="12" customFormat="false" ht="15" hidden="false" customHeight="false" outlineLevel="0" collapsed="false">
      <c r="A12" s="77" t="s">
        <v>90</v>
      </c>
      <c r="B12" s="78" t="s">
        <v>91</v>
      </c>
      <c r="C12" s="78" t="s">
        <v>92</v>
      </c>
      <c r="D12" s="79" t="n">
        <v>0.0085</v>
      </c>
      <c r="E12" s="80" t="n">
        <f aca="false">(1+D12)^12-1</f>
        <v>0.106906226923436</v>
      </c>
      <c r="F12" s="87" t="n">
        <v>0</v>
      </c>
      <c r="G12" s="82" t="n">
        <f aca="false">IF(F11=0,1,(1+F11)*(1+E12))</f>
        <v>1</v>
      </c>
      <c r="H12" s="86" t="n">
        <f aca="false">H11*G12</f>
        <v>1588.78126541813</v>
      </c>
    </row>
    <row r="13" customFormat="false" ht="15" hidden="false" customHeight="false" outlineLevel="0" collapsed="false">
      <c r="A13" s="13" t="s">
        <v>93</v>
      </c>
      <c r="B13" s="15" t="s">
        <v>94</v>
      </c>
      <c r="C13" s="15" t="s">
        <v>95</v>
      </c>
      <c r="D13" s="79" t="n">
        <v>0.0085</v>
      </c>
      <c r="E13" s="84" t="n">
        <f aca="false">(1+D13)^12-1</f>
        <v>0.106906226923436</v>
      </c>
      <c r="F13" s="87" t="n">
        <v>0</v>
      </c>
      <c r="G13" s="85" t="n">
        <f aca="false">IF(F12=0,1,(1+F12)*(1+E13))</f>
        <v>1</v>
      </c>
      <c r="H13" s="86" t="n">
        <f aca="false">H12*G13</f>
        <v>1588.78126541813</v>
      </c>
    </row>
    <row r="15" customFormat="false" ht="15" hidden="false" customHeight="false" outlineLevel="0" collapsed="false">
      <c r="A15" s="88" t="s">
        <v>96</v>
      </c>
    </row>
    <row r="16" customFormat="false" ht="15" hidden="false" customHeight="false" outlineLevel="0" collapsed="false">
      <c r="A16" s="88" t="s">
        <v>97</v>
      </c>
    </row>
    <row r="17" customFormat="false" ht="15" hidden="false" customHeight="false" outlineLevel="0" collapsed="false">
      <c r="A17" s="88" t="s">
        <v>98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2026-03-23T18:41:30Z</dcterms:created>
  <dc:creator>openpyxl</dc:creator>
  <dc:description/>
  <dc:language>en-US</dc:language>
  <cp:lastModifiedBy/>
  <dcterms:modified xsi:type="dcterms:W3CDTF">2026-03-23T18:41:30Z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